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Cronograma" sheetId="2" state="visible" r:id="rId4"/>
    <sheet name="Agenda inicial" sheetId="3" state="visible" r:id="rId5"/>
    <sheet name="Calendario" sheetId="4" state="visible" r:id="rId6"/>
    <sheet name="Supuestos" sheetId="5" state="visible" r:id="rId7"/>
    <sheet name="Festivos" sheetId="6" state="visible" r:id="rId8"/>
  </sheets>
  <definedNames>
    <definedName function="false" hidden="false" localSheetId="1" name="_xlnm.Print_Titles" vbProcedure="false">Cronograma!$5:$5</definedName>
    <definedName function="false" hidden="true" localSheetId="1" name="_xlnm._FilterDatabase" vbProcedure="false">Cronograma!$A$5:$T$53</definedName>
    <definedName function="false" hidden="false" name="Festivos" vbProcedure="false">Festivos!$A$3:$A$96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<sst xmlns="http://schemas.openxmlformats.org/spreadsheetml/2006/main" count="686" uniqueCount="265">
  <si>
    <t xml:space="preserve">Mantenimiento preventivo semestral — flota Sunny</t>
  </si>
  <si>
    <t xml:space="preserve">Cronograma para 48 casas (excluye Piloto Promigas y Piloto HUAWEI) · datos de Metrum al 15-oct-2026</t>
  </si>
  <si>
    <t xml:space="preserve">Casas en alcance</t>
  </si>
  <si>
    <t xml:space="preserve">Vencidas hoy (sin mantenimiento a tiempo)</t>
  </si>
  <si>
    <t xml:space="preserve">Vencen en ≤ 30 días</t>
  </si>
  <si>
    <t xml:space="preserve">Al día</t>
  </si>
  <si>
    <t xml:space="preserve">Primera visita programada</t>
  </si>
  <si>
    <t xml:space="preserve">Última visita del primer ciclo</t>
  </si>
  <si>
    <t xml:space="preserve">Campañas del primer ciclo</t>
  </si>
  <si>
    <t xml:space="preserve">Cuadrilla</t>
  </si>
  <si>
    <t xml:space="preserve">Campaña</t>
  </si>
  <si>
    <t xml:space="preserve">Inicio</t>
  </si>
  <si>
    <t xml:space="preserve">Fin</t>
  </si>
  <si>
    <t xml:space="preserve">Casas</t>
  </si>
  <si>
    <t xml:space="preserve">Conjuntos</t>
  </si>
  <si>
    <t xml:space="preserve">Casas incluidas</t>
  </si>
  <si>
    <t xml:space="preserve">Cali</t>
  </si>
  <si>
    <t xml:space="preserve">Condominio Los Abedules; Llanos De Pance; Reservas De Pance</t>
  </si>
  <si>
    <t xml:space="preserve">2, 10, 11, 12, 15, 18, 23, 29, 30, 35, 42, 48, 56, 57, 63, 70, 73, 74, 76, 77, 99, 104, 108, 111</t>
  </si>
  <si>
    <t xml:space="preserve">Pance Campestre; Porton De La Rivera</t>
  </si>
  <si>
    <t xml:space="preserve">18PR, 48PC</t>
  </si>
  <si>
    <t xml:space="preserve">Costa</t>
  </si>
  <si>
    <t xml:space="preserve">Prado Verde Primavera; Terra By Kaia</t>
  </si>
  <si>
    <t xml:space="preserve">18Ap, 23p, 24, 93p, 102p</t>
  </si>
  <si>
    <t xml:space="preserve">55p, 155, 287, 382p, 435p, 446p</t>
  </si>
  <si>
    <t xml:space="preserve">Castellana Real; Condominio Terranova; Prado Verde Primavera</t>
  </si>
  <si>
    <t xml:space="preserve">10p, 15p, 60p, 78T, 86p, 121 CR</t>
  </si>
  <si>
    <t xml:space="preserve">Gerona Club House; Prado Verde Primavera</t>
  </si>
  <si>
    <t xml:space="preserve">9G, 412p, 415p, 425p, 447p</t>
  </si>
  <si>
    <t xml:space="preserve">Casas a vigilar en campo (según telemetría de Metrum)</t>
  </si>
  <si>
    <t xml:space="preserve">•</t>
  </si>
  <si>
    <t xml:space="preserve">Vencidas desde antes de esta fecha: Casa 12 (Los Abedules), Casa 73 (Llanos de Pance), Casa 102p y Casa 23p (Prado Verde) — van en la primera semana.</t>
  </si>
  <si>
    <t xml:space="preserve">Casa 382p (Prado Verde): el inversor dejó de reportar el 10-oct; verificar comunicación antes de la visita.</t>
  </si>
  <si>
    <t xml:space="preserve">Generación media baja en últimos 60 días: Casa 111 (2,3 kWh/día), Casa 93p (1,9) y Casa 55p (1,5) — revisar sombreado, limitación de exportación o falla.</t>
  </si>
  <si>
    <t xml:space="preserve">Equipo reemplazado recientemente: Casa 23p, 48PC, 55p y 121 CR — confirmar si reinician el ciclo.</t>
  </si>
  <si>
    <t xml:space="preserve">Antes de ejecutar, confirme los pendientes de la hoja 'Supuestos' (día exacto del mantenimiento de abril en Reservas de Pance, fechas oficiales de energización y capacidad de las cuadrillas).</t>
  </si>
  <si>
    <t xml:space="preserve">Cronograma de mantenimiento preventivo semestral — Sunny</t>
  </si>
  <si>
    <t xml:space="preserve">48 casas · excluye Piloto Promigas y Piloto HUAWEI · ciclo cada 6 meses desde el último mantenimiento (o desde la energización si nunca se ha hecho)</t>
  </si>
  <si>
    <t xml:space="preserve">Azul = dato editable · Amarillo = por confirmar · Negro = fórmula. Al ejecutar un mantenimiento: escriba la fecha en 'Último mantenimiento' y la siguiente visita en 'Visita programada'.</t>
  </si>
  <si>
    <t xml:space="preserve">Nº</t>
  </si>
  <si>
    <t xml:space="preserve">Región</t>
  </si>
  <si>
    <t xml:space="preserve">Conjunto / zona</t>
  </si>
  <si>
    <t xml:space="preserve">Ciudad</t>
  </si>
  <si>
    <t xml:space="preserve">Casa</t>
  </si>
  <si>
    <t xml:space="preserve">Inversor</t>
  </si>
  <si>
    <t xml:space="preserve">Fecha de energización</t>
  </si>
  <si>
    <t xml:space="preserve">Fuente de la energización</t>
  </si>
  <si>
    <t xml:space="preserve">Inicio de generación</t>
  </si>
  <si>
    <t xml:space="preserve">Nota sobre el inicio de generación</t>
  </si>
  <si>
    <t xml:space="preserve">Último mantenimiento realizado</t>
  </si>
  <si>
    <t xml:space="preserve">Base del ciclo</t>
  </si>
  <si>
    <t xml:space="preserve">Vence (+6 meses)</t>
  </si>
  <si>
    <t xml:space="preserve">Visita programada</t>
  </si>
  <si>
    <t xml:space="preserve">Holgura vs. vencimiento (días)</t>
  </si>
  <si>
    <t xml:space="preserve">Estado</t>
  </si>
  <si>
    <t xml:space="preserve">Visita +6 meses</t>
  </si>
  <si>
    <t xml:space="preserve">Visita +12 meses</t>
  </si>
  <si>
    <t xml:space="preserve">Visita +18 meses</t>
  </si>
  <si>
    <t xml:space="preserve">Observaciones</t>
  </si>
  <si>
    <t xml:space="preserve">Condominio Los Abedules</t>
  </si>
  <si>
    <t xml:space="preserve">Casa 12</t>
  </si>
  <si>
    <t xml:space="preserve">Livoltek HP3-15KL2 · 15 kW</t>
  </si>
  <si>
    <t xml:space="preserve">Alta en Metrum (estimada)</t>
  </si>
  <si>
    <t xml:space="preserve">Anterior al 01-Jun-2026</t>
  </si>
  <si>
    <t xml:space="preserve">Sin histórico previo en Metrum; ya traía 2,61 MWh</t>
  </si>
  <si>
    <t xml:space="preserve">Llanos De Pance</t>
  </si>
  <si>
    <t xml:space="preserve">Casa 73</t>
  </si>
  <si>
    <t xml:space="preserve">Anterior al 01-Ago-2026</t>
  </si>
  <si>
    <t xml:space="preserve">Sin histórico previo en Metrum; ya traía 1,76 MWh</t>
  </si>
  <si>
    <t xml:space="preserve">Reservas De Pance</t>
  </si>
  <si>
    <t xml:space="preserve">Casa 2</t>
  </si>
  <si>
    <t xml:space="preserve">Deye SUN-15K-SG01HP3 HV trifásico · 15 kW</t>
  </si>
  <si>
    <t xml:space="preserve">Sin histórico previo en Metrum; ya traía 4,83 MWh</t>
  </si>
  <si>
    <t xml:space="preserve">Mantenimiento realizado en abril-2026 (día exacto por confirmar)</t>
  </si>
  <si>
    <t xml:space="preserve">Casa 10</t>
  </si>
  <si>
    <t xml:space="preserve">Sin histórico previo en Metrum; ya traía 0,86 MWh</t>
  </si>
  <si>
    <t xml:space="preserve">2º inversor registrado en Metrum sin telemetría (posible duplicado/retirado); no se considera; Mantenimiento realizado en abril-2026 (día exacto por confirmar)</t>
  </si>
  <si>
    <t xml:space="preserve">Costa - Bolívar</t>
  </si>
  <si>
    <t xml:space="preserve">Prado Verde Primavera</t>
  </si>
  <si>
    <t xml:space="preserve">Turbaco</t>
  </si>
  <si>
    <t xml:space="preserve">Casa 18Ap</t>
  </si>
  <si>
    <t xml:space="preserve">Livoltek HP3-10KL2 · 10 kW</t>
  </si>
  <si>
    <t xml:space="preserve">Sin histórico previo en Metrum; ya traía 0,40 MWh</t>
  </si>
  <si>
    <t xml:space="preserve">Casa 23p</t>
  </si>
  <si>
    <t xml:space="preserve">Sin histórico previo en Metrum; ya traía 0,87 MWh</t>
  </si>
  <si>
    <t xml:space="preserve">Inversor reemplazado (equipo anterior sin datos desde 2026-08-05)</t>
  </si>
  <si>
    <t xml:space="preserve">Casa 93p</t>
  </si>
  <si>
    <t xml:space="preserve">Deye SUN-15K-SG01HP3 · 15 kW</t>
  </si>
  <si>
    <t xml:space="preserve">≈ 01-jun-2026 (odómetro casi en cero al inicio de la telemetría)</t>
  </si>
  <si>
    <t xml:space="preserve">Energizada 14-May pero empezó a generar 01-Jun (18 d después); Generación media baja (1.9 kWh/día, últimos 60 d): revisar en la visita</t>
  </si>
  <si>
    <t xml:space="preserve">Casa 102p</t>
  </si>
  <si>
    <t xml:space="preserve">Sin histórico previo en Metrum; ya traía 1,04 MWh</t>
  </si>
  <si>
    <t xml:space="preserve">Casa 11</t>
  </si>
  <si>
    <t xml:space="preserve">Sin histórico previo en Metrum; ya traía 1,81 MWh</t>
  </si>
  <si>
    <t xml:space="preserve">Casa 15</t>
  </si>
  <si>
    <t xml:space="preserve">Sin histórico previo en Metrum; ya traía 3,00 MWh</t>
  </si>
  <si>
    <t xml:space="preserve">Casa 18</t>
  </si>
  <si>
    <t xml:space="preserve">Sin histórico previo en Metrum; ya traía 1,56 MWh</t>
  </si>
  <si>
    <t xml:space="preserve">Casa 23</t>
  </si>
  <si>
    <t xml:space="preserve">Sin histórico previo en Metrum; ya traía 3,14 MWh</t>
  </si>
  <si>
    <t xml:space="preserve">Costa - Atlántico</t>
  </si>
  <si>
    <t xml:space="preserve">Terra By Kaia</t>
  </si>
  <si>
    <t xml:space="preserve">Barranquilla</t>
  </si>
  <si>
    <t xml:space="preserve">Casa 24</t>
  </si>
  <si>
    <t xml:space="preserve">Sin histórico previo en Metrum; ya traía 1,06 MWh</t>
  </si>
  <si>
    <t xml:space="preserve">Casa 29</t>
  </si>
  <si>
    <t xml:space="preserve">Sin histórico previo en Metrum; ya traía 2,41 MWh</t>
  </si>
  <si>
    <t xml:space="preserve">Casa 30</t>
  </si>
  <si>
    <t xml:space="preserve">Sin histórico previo en Metrum; ya traía 2,75 MWh</t>
  </si>
  <si>
    <t xml:space="preserve">Casa 35</t>
  </si>
  <si>
    <t xml:space="preserve">Sin histórico previo en Metrum; ya traía 1,34 MWh</t>
  </si>
  <si>
    <t xml:space="preserve">Casa 42</t>
  </si>
  <si>
    <t xml:space="preserve">Sin histórico previo en Metrum; ya traía 2,53 MWh</t>
  </si>
  <si>
    <t xml:space="preserve">Casa 48</t>
  </si>
  <si>
    <t xml:space="preserve">Sin histórico previo en Metrum; ya traía 1,41 MWh</t>
  </si>
  <si>
    <t xml:space="preserve">Casa 56</t>
  </si>
  <si>
    <t xml:space="preserve">Sin histórico previo en Metrum; ya traía 3,09 MWh</t>
  </si>
  <si>
    <t xml:space="preserve">Casa 57</t>
  </si>
  <si>
    <t xml:space="preserve">Sin histórico previo en Metrum; ya traía 1,99 MWh</t>
  </si>
  <si>
    <t xml:space="preserve">Casa 63</t>
  </si>
  <si>
    <t xml:space="preserve">Deye LV trifásico · 6 kW</t>
  </si>
  <si>
    <t xml:space="preserve">Sin histórico previo en Metrum; ya traía 2,07 MWh</t>
  </si>
  <si>
    <t xml:space="preserve">Casa 70</t>
  </si>
  <si>
    <t xml:space="preserve">Deye HV trifásico · 15 kW</t>
  </si>
  <si>
    <t xml:space="preserve">Sin histórico previo en Metrum; ya traía 1,94 MWh</t>
  </si>
  <si>
    <t xml:space="preserve">Casa 74</t>
  </si>
  <si>
    <t xml:space="preserve">Sin histórico previo en Metrum; ya traía 0,47 MWh</t>
  </si>
  <si>
    <t xml:space="preserve">Casa 76</t>
  </si>
  <si>
    <t xml:space="preserve">Sin histórico previo en Metrum; ya traía 3,13 MWh</t>
  </si>
  <si>
    <t xml:space="preserve">Casa 77</t>
  </si>
  <si>
    <t xml:space="preserve">Sin histórico previo en Metrum; ya traía 2,71 MWh</t>
  </si>
  <si>
    <t xml:space="preserve">Casa 99</t>
  </si>
  <si>
    <t xml:space="preserve">Sin histórico previo en Metrum; ya traía 1,48 MWh</t>
  </si>
  <si>
    <t xml:space="preserve">Casa 104</t>
  </si>
  <si>
    <t xml:space="preserve">Casa 108</t>
  </si>
  <si>
    <t xml:space="preserve">Sin histórico previo en Metrum; ya traía 1,87 MWh</t>
  </si>
  <si>
    <t xml:space="preserve">Casa 111</t>
  </si>
  <si>
    <t xml:space="preserve">Sin histórico previo en Metrum; ya traía 0,41 MWh</t>
  </si>
  <si>
    <t xml:space="preserve">Generación media baja (2.3 kWh/día, últimos 60 d): revisar en la visita; Mantenimiento realizado en abril-2026 (día exacto por confirmar)</t>
  </si>
  <si>
    <t xml:space="preserve">Casa 55p</t>
  </si>
  <si>
    <t xml:space="preserve">Deye HP3-15KL2 · 15 kW</t>
  </si>
  <si>
    <t xml:space="preserve">Telemetría Metrum (1er dato)</t>
  </si>
  <si>
    <t xml:space="preserve">Inversor reemplazado (equipo anterior sin datos desde 2026-09-02); Generación media baja (1.5 kWh/día, últimos 60 d): revisar en la visita</t>
  </si>
  <si>
    <t xml:space="preserve">Casa 382p</t>
  </si>
  <si>
    <t xml:space="preserve">Anterior al 02-Jul-2026</t>
  </si>
  <si>
    <t xml:space="preserve">Sin histórico previo en Metrum; ya traía 0,08 MWh</t>
  </si>
  <si>
    <t xml:space="preserve">Inversor sin datos desde 2026-10-10: verificar comunicación</t>
  </si>
  <si>
    <t xml:space="preserve">Casa 435p</t>
  </si>
  <si>
    <t xml:space="preserve">Casa 446p</t>
  </si>
  <si>
    <t xml:space="preserve">Casa 155</t>
  </si>
  <si>
    <t xml:space="preserve">Casa 287</t>
  </si>
  <si>
    <t xml:space="preserve">Pance Campestre</t>
  </si>
  <si>
    <t xml:space="preserve">Casa 48PC</t>
  </si>
  <si>
    <t xml:space="preserve">Inversor reemplazado (equipo anterior sin datos desde 2026-08-22)</t>
  </si>
  <si>
    <t xml:space="preserve">Porton De La Rivera</t>
  </si>
  <si>
    <t xml:space="preserve">Casa 18PR</t>
  </si>
  <si>
    <t xml:space="preserve">Anterior al 15-Jul-2026</t>
  </si>
  <si>
    <t xml:space="preserve">Sin histórico previo en Metrum; ya traía 0,06 MWh</t>
  </si>
  <si>
    <t xml:space="preserve">Condominio Terranova</t>
  </si>
  <si>
    <t xml:space="preserve">Cartagena</t>
  </si>
  <si>
    <t xml:space="preserve">Casa 78T</t>
  </si>
  <si>
    <t xml:space="preserve">Casa 10p</t>
  </si>
  <si>
    <t xml:space="preserve">Casa 15p</t>
  </si>
  <si>
    <t xml:space="preserve">Casa 60p</t>
  </si>
  <si>
    <t xml:space="preserve">Energizada 04-Sep pero empezó a generar 29-Sep (25 d después)</t>
  </si>
  <si>
    <t xml:space="preserve">Casa 86p</t>
  </si>
  <si>
    <t xml:space="preserve">Energizada 04-Sep pero empezó a generar 30-Sep (26 d después)</t>
  </si>
  <si>
    <t xml:space="preserve">Castellana Real</t>
  </si>
  <si>
    <t xml:space="preserve">Casa 121 CR</t>
  </si>
  <si>
    <t xml:space="preserve">Inversor reemplazado (equipo anterior sin datos desde 2026-09-09)</t>
  </si>
  <si>
    <t xml:space="preserve">Casa 412p</t>
  </si>
  <si>
    <t xml:space="preserve">Energizada 11-Sep pero empezó a generar 03-Oct (22 d después)</t>
  </si>
  <si>
    <t xml:space="preserve">Casa 415p</t>
  </si>
  <si>
    <t xml:space="preserve">Energizada 07-Sep pero empezó a generar 02-Oct (25 d después)</t>
  </si>
  <si>
    <t xml:space="preserve">Casa 425p</t>
  </si>
  <si>
    <t xml:space="preserve">Energizada 10-Sep pero empezó a generar 01-Oct (21 d después)</t>
  </si>
  <si>
    <t xml:space="preserve">Casa 447p</t>
  </si>
  <si>
    <t xml:space="preserve">Energizada 18-Sep pero empezó a generar 08-Oct (20 d después)</t>
  </si>
  <si>
    <t xml:space="preserve">Gerona Club House</t>
  </si>
  <si>
    <t xml:space="preserve">Casa 9G</t>
  </si>
  <si>
    <t xml:space="preserve">Agenda inicial de visitas (primer ciclo)</t>
  </si>
  <si>
    <t xml:space="preserve">Plan generado el 15-oct-2026 con 1 cuadrilla en Cali y 1 en la Costa, 4 casas/día. Es una foto inicial: si mueve fechas en 'Cronograma', actualice esta hoja o pídame regenerarla.</t>
  </si>
  <si>
    <t xml:space="preserve">Fecha</t>
  </si>
  <si>
    <t xml:space="preserve">Día</t>
  </si>
  <si>
    <t xml:space="preserve">Cuadrilla / región</t>
  </si>
  <si>
    <t xml:space="preserve">Conjunto</t>
  </si>
  <si>
    <t xml:space="preserve">N° casas</t>
  </si>
  <si>
    <t xml:space="preserve">lun</t>
  </si>
  <si>
    <t xml:space="preserve">Casa 2, Casa 10</t>
  </si>
  <si>
    <t xml:space="preserve">Casa 18Ap, Casa 23p, Casa 93p, Casa 102p</t>
  </si>
  <si>
    <t xml:space="preserve">mar</t>
  </si>
  <si>
    <t xml:space="preserve">Casa 11, Casa 15, Casa 18, Casa 23</t>
  </si>
  <si>
    <t xml:space="preserve">mié</t>
  </si>
  <si>
    <t xml:space="preserve">Casa 29, Casa 30, Casa 35, Casa 42</t>
  </si>
  <si>
    <t xml:space="preserve">jue</t>
  </si>
  <si>
    <t xml:space="preserve">Casa 48, Casa 56, Casa 57, Casa 63</t>
  </si>
  <si>
    <t xml:space="preserve">vie</t>
  </si>
  <si>
    <t xml:space="preserve">Casa 70, Casa 74, Casa 76, Casa 77</t>
  </si>
  <si>
    <t xml:space="preserve">Casa 99, Casa 104, Casa 108, Casa 111</t>
  </si>
  <si>
    <t xml:space="preserve">Casa 55p, Casa 382p, Casa 435p, Casa 446p</t>
  </si>
  <si>
    <t xml:space="preserve">Casa 155, Casa 287</t>
  </si>
  <si>
    <t xml:space="preserve">Casa 10p, Casa 15p, Casa 60p</t>
  </si>
  <si>
    <t xml:space="preserve">Casa 412p, Casa 415p, Casa 425p, Casa 447p</t>
  </si>
  <si>
    <t xml:space="preserve">Carga de visitas por mes (fórmulas sobre 'Cronograma')</t>
  </si>
  <si>
    <t xml:space="preserve">Cuenta las visitas programadas y los ciclos +6, +12 y +18 meses. Se actualiza al mover fechas en 'Cronograma'.</t>
  </si>
  <si>
    <t xml:space="preserve">Por región (cuadrilla)</t>
  </si>
  <si>
    <t xml:space="preserve">Mes →</t>
  </si>
  <si>
    <t xml:space="preserve">Total</t>
  </si>
  <si>
    <t xml:space="preserve">Por conjunto / zona</t>
  </si>
  <si>
    <t xml:space="preserve">Parámetros, supuestos y pendientes</t>
  </si>
  <si>
    <t xml:space="preserve">Parámetros (celdas azules = editables)</t>
  </si>
  <si>
    <t xml:space="preserve">Fecha de referencia (hoy)</t>
  </si>
  <si>
    <t xml:space="preserve">Se actualiza sola. Para congelar una fecha, escriba la fecha en esta celda.</t>
  </si>
  <si>
    <t xml:space="preserve">Ciclo de mantenimiento (meses)</t>
  </si>
  <si>
    <t xml:space="preserve">Solicitado: cada 6 meses. Alimenta todas las fechas de vencimiento y de ciclos siguientes.</t>
  </si>
  <si>
    <t xml:space="preserve">Aviso previo: marcar 'En ventana' si vence en ≤ N días</t>
  </si>
  <si>
    <t xml:space="preserve">También es la anticipación máxima usada al planificar campañas (−30 días).</t>
  </si>
  <si>
    <t xml:space="preserve">Tolerancia de atraso (días)</t>
  </si>
  <si>
    <t xml:space="preserve">Visitas programadas con más atraso que esto se marcan en rojo en la columna Holgura.</t>
  </si>
  <si>
    <t xml:space="preserve">Casas por día por cuadrilla (solo informativo)</t>
  </si>
  <si>
    <t xml:space="preserve">Supuesto de capacidad con el que se armó la agenda inicial; no recalcula fechas por sí solo.</t>
  </si>
  <si>
    <t xml:space="preserve">Supuestos usados</t>
  </si>
  <si>
    <t xml:space="preserve">Alcance: 48 casas/sitios de Sunny. Excluidos: 'Piloto Promigas' y 'Piloto HUAWEI' (zona Oficina Promigas, Barranquilla), según instrucción.</t>
  </si>
  <si>
    <t xml:space="preserve">Regla del ciclo: el próximo mantenimiento vence a los 6 meses del último mantenimiento realizado; si la casa nunca se ha mantenido, a los 6 meses de su fecha de energización.</t>
  </si>
  <si>
    <t xml:space="preserve">Reservas de Pance (22 casas): mantenimiento realizado en abril-2026. No se conoce el día exacto por casa; se asumió 15-abr-2026 (celdas amarillas en 'Último mantenimiento') → vencen ~15-oct-2026. Reemplazar por la fecha real de cada casa y todo se recalcula.</t>
  </si>
  <si>
    <t xml:space="preserve">Fecha de energización: la telemetría de Metrum solo existe desde el 01-jun-2026 (retención). Para casas anteriores se usó la fecha de alta del primer equipo en Metrum como aproximación (en 27 casas contrastadas con el odómetro del inversor, la generación arrancó típicamente 1-3 semanas después del alta). Para casas posteriores se usó el primer dato real de telemetría.</t>
  </si>
  <si>
    <t xml:space="preserve">Inicio de generación: primer día con energía generada según el odómetro del inversor. En casas con equipo anterior al 01-jun-2026 no es recuperable desde Metrum y se indica 'Anterior a …'.</t>
  </si>
  <si>
    <t xml:space="preserve">Ciclo contado desde la energización (puesta en servicio). 7 casas de Prado Verde Primavera se energizaron y empezaron a generar 18-26 días después; el efecto en el calendario es menor a 1 mes y ya queda absorbido por la ventana de campaña.</t>
  </si>
  <si>
    <t xml:space="preserve">Planificación por campañas: una cuadrilla en Cali y una en la Costa (Turbaco/Cartagena/Barranquilla), 4 casas por día, lunes a viernes, sin festivos de Colombia. Cada visita cae entre 30 días antes y 15 días después del vencimiento, salvo las casas ya vencidas, que se atienden en la primera semana.</t>
  </si>
  <si>
    <t xml:space="preserve">Los ciclos siguientes se calculan automáticamente: fecha de la visita + 6 meses, ajustada al siguiente día hábil.</t>
  </si>
  <si>
    <t xml:space="preserve">Equipos: se consideró un inversor activo por casa. Inversores duplicados o sin telemetría registrados en Metrum (Casa 10 y Casa 99 de Reservas de Pance) se ignoraron para el cronograma.</t>
  </si>
  <si>
    <t xml:space="preserve">Pendientes por confirmar con el equipo</t>
  </si>
  <si>
    <t xml:space="preserve">Fecha exacta (día) del mantenimiento de abril en cada casa de Reservas de Pance.</t>
  </si>
  <si>
    <t xml:space="preserve">Fechas oficiales de energización de las casas anteriores a jun-2026 (acta de puesta en servicio o CRM): las de Metrum son aproximadas.</t>
  </si>
  <si>
    <t xml:space="preserve">Confirmar si el ciclo debe contarse desde la energización (usado aquí) o desde el inicio de generación.</t>
  </si>
  <si>
    <t xml:space="preserve">Capacidad real de las cuadrillas (casas por día, número de cuadrillas y base de operación) para ajustar la agenda.</t>
  </si>
  <si>
    <t xml:space="preserve">Si las casas con inversor reemplazado (23p, 48PC, 55p, 121 CR) deben reiniciar el ciclo desde la fecha de reemplazo.</t>
  </si>
  <si>
    <t xml:space="preserve">Festivos Colombia (para días hábiles)</t>
  </si>
  <si>
    <t xml:space="preserve">Festivo</t>
  </si>
  <si>
    <t xml:space="preserve">Año Nuevo</t>
  </si>
  <si>
    <t xml:space="preserve">Día de los Reyes Magos (observado)</t>
  </si>
  <si>
    <t xml:space="preserve">Día de San José (observado)</t>
  </si>
  <si>
    <t xml:space="preserve">Jueves Santo</t>
  </si>
  <si>
    <t xml:space="preserve">Viernes Santo</t>
  </si>
  <si>
    <t xml:space="preserve">Día del Trabajo</t>
  </si>
  <si>
    <t xml:space="preserve">Ascensión del señor (observado)</t>
  </si>
  <si>
    <t xml:space="preserve">Corpus Christi (observado)</t>
  </si>
  <si>
    <t xml:space="preserve">Sagrado Corazón (observado)</t>
  </si>
  <si>
    <t xml:space="preserve">San Pedro y San Pablo</t>
  </si>
  <si>
    <t xml:space="preserve">Día de Nuestra Señora del Rosario de Chiquinquirá (observado)</t>
  </si>
  <si>
    <t xml:space="preserve">Día de la Independencia</t>
  </si>
  <si>
    <t xml:space="preserve">Batalla de Boyacá</t>
  </si>
  <si>
    <t xml:space="preserve">La Asunción (observado)</t>
  </si>
  <si>
    <t xml:space="preserve">Día de la Raza</t>
  </si>
  <si>
    <t xml:space="preserve">Día de Todos los Santos (observado)</t>
  </si>
  <si>
    <t xml:space="preserve">Independencia de Cartagena (observado)</t>
  </si>
  <si>
    <t xml:space="preserve">La Inmaculada Concepción</t>
  </si>
  <si>
    <t xml:space="preserve">Navidad</t>
  </si>
  <si>
    <t xml:space="preserve">San Pedro y San Pablo (observado)</t>
  </si>
  <si>
    <t xml:space="preserve">Día de la Raza (observado)</t>
  </si>
  <si>
    <t xml:space="preserve">Día de Todos los Santos</t>
  </si>
  <si>
    <t xml:space="preserve">Día de San José</t>
  </si>
  <si>
    <t xml:space="preserve">Día de Nuestra Señora del Rosario de Chiquinquirá</t>
  </si>
  <si>
    <t xml:space="preserve">Sagrado Corazón (observado); San Pedro y San Pablo (observado)</t>
  </si>
  <si>
    <t xml:space="preserve">Independencia de Cartagena</t>
  </si>
</sst>
</file>

<file path=xl/styles.xml><?xml version="1.0" encoding="utf-8"?>
<styleSheet xmlns="http://schemas.openxmlformats.org/spreadsheetml/2006/main">
  <numFmts count="6">
    <numFmt numFmtId="164" formatCode="General"/>
    <numFmt numFmtId="165" formatCode="General"/>
    <numFmt numFmtId="166" formatCode="dd\-mmm\-yyyy"/>
    <numFmt numFmtId="167" formatCode="0;[RED]\-0;0"/>
    <numFmt numFmtId="168" formatCode="mmm\-yy"/>
    <numFmt numFmtId="169" formatCode="0"/>
  </numFmts>
  <fonts count="1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5">
    <fill>
      <patternFill patternType="none"/>
    </fill>
    <fill>
      <patternFill patternType="gray125"/>
    </fill>
    <fill>
      <patternFill patternType="solid">
        <fgColor rgb="FFD9E2F3"/>
        <bgColor rgb="FFEAF1FB"/>
      </patternFill>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6" fontId="6"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right"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6" fontId="9"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7" fontId="6" fillId="0" borderId="1" xfId="0" applyFont="true" applyBorder="true" applyAlignment="true" applyProtection="false">
      <alignment horizontal="center" vertical="top" textRotation="0" wrapText="false" indent="0" shrinkToFit="false"/>
      <protection locked="true" hidden="false"/>
    </xf>
    <xf numFmtId="166" fontId="9" fillId="4" borderId="1" xfId="0" applyFont="true" applyBorder="true" applyAlignment="true" applyProtection="false">
      <alignment horizontal="center" vertical="top" textRotation="0" wrapText="fals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8" fontId="8" fillId="3" borderId="0" xfId="0" applyFont="true" applyBorder="false" applyAlignment="true" applyProtection="false">
      <alignment horizontal="center" vertical="center" textRotation="0" wrapText="true" indent="0" shrinkToFit="false"/>
      <protection locked="true" hidden="false"/>
    </xf>
    <xf numFmtId="164" fontId="8"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9" fontId="9"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top"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FFFF00"/>
          <bgColor rgb="FF000000"/>
        </patternFill>
      </fill>
    </dxf>
    <dxf>
      <fill>
        <patternFill patternType="solid">
          <fgColor rgb="FFFCE4D6"/>
          <bgColor rgb="FF000000"/>
        </patternFill>
      </fill>
    </dxf>
    <dxf>
      <fill>
        <patternFill patternType="solid">
          <fgColor rgb="FFC00000"/>
          <bgColor rgb="FF000000"/>
        </patternFill>
      </fill>
    </dxf>
    <dxf>
      <fill>
        <patternFill patternType="solid">
          <fgColor rgb="FFC6E0B4"/>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9C0006"/>
          <bgColor rgb="FF000000"/>
        </patternFill>
      </fill>
    </dxf>
    <dxf>
      <font>
        <name val="Arial"/>
        <charset val="1"/>
        <family val="0"/>
        <b val="1"/>
        <color rgb="FF9C0006"/>
      </font>
      <fill>
        <patternFill>
          <bgColor rgb="FFF8CBAD"/>
        </patternFill>
      </fill>
    </dxf>
    <dxf>
      <fill>
        <patternFill>
          <bgColor rgb="FFFFE699"/>
        </patternFill>
      </fill>
    </dxf>
    <dxf>
      <fill>
        <patternFill>
          <bgColor rgb="FFC6E0B4"/>
        </patternFill>
      </fill>
    </dxf>
    <dxf>
      <font>
        <name val="Arial"/>
        <charset val="1"/>
        <family val="0"/>
        <b val="1"/>
        <color rgb="FFC00000"/>
      </font>
      <fill>
        <patternFill>
          <bgColor rgb="FFFCE4D6"/>
        </patternFill>
      </fill>
    </dxf>
    <dxf>
      <fill>
        <patternFill>
          <bgColor rgb="FFEAF1FB"/>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CE4D6"/>
      <rgbColor rgb="FFEAF1FB"/>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4" min="3" style="0" width="13"/>
    <col collapsed="false" customWidth="true" hidden="false" outlineLevel="0" max="5" min="5" style="0" width="8"/>
    <col collapsed="false" customWidth="true" hidden="false" outlineLevel="0" max="6" min="6" style="0" width="30"/>
    <col collapsed="false" customWidth="true" hidden="false" outlineLevel="0" max="7" min="7" style="0" width="6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c r="C4" s="3"/>
      <c r="D4" s="4" t="n">
        <f aca="false">COUNTA(Cronograma!E6:E53)</f>
        <v>48</v>
      </c>
    </row>
    <row r="5" customFormat="false" ht="15" hidden="false" customHeight="false" outlineLevel="0" collapsed="false">
      <c r="A5" s="3" t="s">
        <v>3</v>
      </c>
      <c r="B5" s="3"/>
      <c r="C5" s="3"/>
      <c r="D5" s="4" t="n">
        <f aca="false">COUNTIF(Cronograma!P6:P53,"Vencido")</f>
        <v>4</v>
      </c>
    </row>
    <row r="6" customFormat="false" ht="15" hidden="false" customHeight="false" outlineLevel="0" collapsed="false">
      <c r="A6" s="3" t="s">
        <v>4</v>
      </c>
      <c r="B6" s="3"/>
      <c r="C6" s="3"/>
      <c r="D6" s="4" t="n">
        <f aca="false">COUNTIF(Cronograma!P6:P53,"En ventana")</f>
        <v>24</v>
      </c>
    </row>
    <row r="7" customFormat="false" ht="15" hidden="false" customHeight="false" outlineLevel="0" collapsed="false">
      <c r="A7" s="3" t="s">
        <v>5</v>
      </c>
      <c r="B7" s="3"/>
      <c r="C7" s="3"/>
      <c r="D7" s="4" t="n">
        <f aca="false">COUNTIF(Cronograma!P6:P53,"Al día")</f>
        <v>20</v>
      </c>
    </row>
    <row r="8" customFormat="false" ht="15" hidden="false" customHeight="false" outlineLevel="0" collapsed="false">
      <c r="A8" s="3" t="s">
        <v>6</v>
      </c>
      <c r="B8" s="3"/>
      <c r="C8" s="3"/>
      <c r="D8" s="5" t="n">
        <f aca="false">MIN(Cronograma!N6:N53)</f>
        <v>46314</v>
      </c>
    </row>
    <row r="9" customFormat="false" ht="15" hidden="false" customHeight="false" outlineLevel="0" collapsed="false">
      <c r="A9" s="3" t="s">
        <v>7</v>
      </c>
      <c r="B9" s="3"/>
      <c r="C9" s="3"/>
      <c r="D9" s="5" t="n">
        <f aca="false">MAX(Cronograma!N6:N53)</f>
        <v>46461</v>
      </c>
    </row>
    <row r="11" customFormat="false" ht="15" hidden="false" customHeight="false" outlineLevel="0" collapsed="false">
      <c r="A11" s="6" t="s">
        <v>8</v>
      </c>
      <c r="B11" s="7"/>
      <c r="C11" s="7"/>
      <c r="D11" s="7"/>
      <c r="E11" s="7"/>
      <c r="F11" s="7"/>
      <c r="G11" s="7"/>
    </row>
    <row r="12" customFormat="false" ht="15" hidden="false" customHeight="false" outlineLevel="0" collapsed="false">
      <c r="A12" s="8" t="s">
        <v>9</v>
      </c>
      <c r="B12" s="8" t="s">
        <v>10</v>
      </c>
      <c r="C12" s="8" t="s">
        <v>11</v>
      </c>
      <c r="D12" s="8" t="s">
        <v>12</v>
      </c>
      <c r="E12" s="8" t="s">
        <v>13</v>
      </c>
      <c r="F12" s="8" t="s">
        <v>14</v>
      </c>
      <c r="G12" s="8" t="s">
        <v>15</v>
      </c>
    </row>
    <row r="13" customFormat="false" ht="45" hidden="false" customHeight="true" outlineLevel="0" collapsed="false">
      <c r="A13" s="9" t="s">
        <v>16</v>
      </c>
      <c r="B13" s="9" t="n">
        <v>1</v>
      </c>
      <c r="C13" s="10" t="n">
        <v>46314</v>
      </c>
      <c r="D13" s="10" t="n">
        <v>46321</v>
      </c>
      <c r="E13" s="9" t="n">
        <v>24</v>
      </c>
      <c r="F13" s="11" t="s">
        <v>17</v>
      </c>
      <c r="G13" s="11" t="s">
        <v>18</v>
      </c>
    </row>
    <row r="14" customFormat="false" ht="30" hidden="false" customHeight="true" outlineLevel="0" collapsed="false">
      <c r="A14" s="9" t="s">
        <v>16</v>
      </c>
      <c r="B14" s="9" t="n">
        <v>2</v>
      </c>
      <c r="C14" s="10" t="n">
        <v>46406</v>
      </c>
      <c r="D14" s="10" t="n">
        <v>46406</v>
      </c>
      <c r="E14" s="9" t="n">
        <v>2</v>
      </c>
      <c r="F14" s="11" t="s">
        <v>19</v>
      </c>
      <c r="G14" s="11" t="s">
        <v>20</v>
      </c>
    </row>
    <row r="15" customFormat="false" ht="30" hidden="false" customHeight="true" outlineLevel="0" collapsed="false">
      <c r="A15" s="9" t="s">
        <v>21</v>
      </c>
      <c r="B15" s="9" t="n">
        <v>1</v>
      </c>
      <c r="C15" s="10" t="n">
        <v>46314</v>
      </c>
      <c r="D15" s="10" t="n">
        <v>46315</v>
      </c>
      <c r="E15" s="9" t="n">
        <v>5</v>
      </c>
      <c r="F15" s="11" t="s">
        <v>22</v>
      </c>
      <c r="G15" s="11" t="s">
        <v>23</v>
      </c>
    </row>
    <row r="16" customFormat="false" ht="30" hidden="false" customHeight="true" outlineLevel="0" collapsed="false">
      <c r="A16" s="9" t="s">
        <v>21</v>
      </c>
      <c r="B16" s="9" t="n">
        <v>2</v>
      </c>
      <c r="C16" s="10" t="n">
        <v>46363</v>
      </c>
      <c r="D16" s="10" t="n">
        <v>46365</v>
      </c>
      <c r="E16" s="9" t="n">
        <v>6</v>
      </c>
      <c r="F16" s="11" t="s">
        <v>22</v>
      </c>
      <c r="G16" s="11" t="s">
        <v>24</v>
      </c>
    </row>
    <row r="17" customFormat="false" ht="45" hidden="false" customHeight="true" outlineLevel="0" collapsed="false">
      <c r="A17" s="9" t="s">
        <v>21</v>
      </c>
      <c r="B17" s="9" t="n">
        <v>3</v>
      </c>
      <c r="C17" s="10" t="n">
        <v>46420</v>
      </c>
      <c r="D17" s="10" t="n">
        <v>46422</v>
      </c>
      <c r="E17" s="9" t="n">
        <v>6</v>
      </c>
      <c r="F17" s="11" t="s">
        <v>25</v>
      </c>
      <c r="G17" s="11" t="s">
        <v>26</v>
      </c>
    </row>
    <row r="18" customFormat="false" ht="30" hidden="false" customHeight="true" outlineLevel="0" collapsed="false">
      <c r="A18" s="9" t="s">
        <v>21</v>
      </c>
      <c r="B18" s="9" t="n">
        <v>4</v>
      </c>
      <c r="C18" s="10" t="n">
        <v>46458</v>
      </c>
      <c r="D18" s="10" t="n">
        <v>46461</v>
      </c>
      <c r="E18" s="9" t="n">
        <v>5</v>
      </c>
      <c r="F18" s="11" t="s">
        <v>27</v>
      </c>
      <c r="G18" s="11" t="s">
        <v>28</v>
      </c>
    </row>
    <row r="20" customFormat="false" ht="15" hidden="false" customHeight="false" outlineLevel="0" collapsed="false">
      <c r="A20" s="6" t="s">
        <v>29</v>
      </c>
      <c r="B20" s="7"/>
      <c r="C20" s="7"/>
      <c r="D20" s="7"/>
      <c r="E20" s="7"/>
      <c r="F20" s="7"/>
      <c r="G20" s="7"/>
    </row>
    <row r="21" customFormat="false" ht="30" hidden="false" customHeight="true" outlineLevel="0" collapsed="false">
      <c r="A21" s="12" t="s">
        <v>30</v>
      </c>
      <c r="B21" s="13" t="s">
        <v>31</v>
      </c>
      <c r="C21" s="13"/>
      <c r="D21" s="13"/>
      <c r="E21" s="13"/>
      <c r="F21" s="13"/>
      <c r="G21" s="13"/>
    </row>
    <row r="22" customFormat="false" ht="30" hidden="false" customHeight="true" outlineLevel="0" collapsed="false">
      <c r="A22" s="12" t="s">
        <v>30</v>
      </c>
      <c r="B22" s="13" t="s">
        <v>32</v>
      </c>
      <c r="C22" s="13"/>
      <c r="D22" s="13"/>
      <c r="E22" s="13"/>
      <c r="F22" s="13"/>
      <c r="G22" s="13"/>
    </row>
    <row r="23" customFormat="false" ht="30" hidden="false" customHeight="true" outlineLevel="0" collapsed="false">
      <c r="A23" s="12" t="s">
        <v>30</v>
      </c>
      <c r="B23" s="13" t="s">
        <v>33</v>
      </c>
      <c r="C23" s="13"/>
      <c r="D23" s="13"/>
      <c r="E23" s="13"/>
      <c r="F23" s="13"/>
      <c r="G23" s="13"/>
    </row>
    <row r="24" customFormat="false" ht="15" hidden="false" customHeight="true" outlineLevel="0" collapsed="false">
      <c r="A24" s="12" t="s">
        <v>30</v>
      </c>
      <c r="B24" s="13" t="s">
        <v>34</v>
      </c>
      <c r="C24" s="13"/>
      <c r="D24" s="13"/>
      <c r="E24" s="13"/>
      <c r="F24" s="13"/>
      <c r="G24" s="13"/>
    </row>
    <row r="26" customFormat="false" ht="30" hidden="false" customHeight="true" outlineLevel="0" collapsed="false">
      <c r="A26" s="14" t="s">
        <v>35</v>
      </c>
      <c r="B26" s="14"/>
      <c r="C26" s="14"/>
      <c r="D26" s="14"/>
      <c r="E26" s="14"/>
      <c r="F26" s="14"/>
      <c r="G26" s="14"/>
    </row>
  </sheetData>
  <mergeCells count="11">
    <mergeCell ref="A4:C4"/>
    <mergeCell ref="A5:C5"/>
    <mergeCell ref="A6:C6"/>
    <mergeCell ref="A7:C7"/>
    <mergeCell ref="A8:C8"/>
    <mergeCell ref="A9:C9"/>
    <mergeCell ref="B21:G21"/>
    <mergeCell ref="B22:G22"/>
    <mergeCell ref="B23:G23"/>
    <mergeCell ref="B24:G24"/>
    <mergeCell ref="A26:G2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5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7"/>
    <col collapsed="false" customWidth="true" hidden="false" outlineLevel="0" max="3" min="3" style="0" width="24"/>
    <col collapsed="false" customWidth="true" hidden="false" outlineLevel="0" max="4" min="4" style="0" width="12"/>
    <col collapsed="false" customWidth="true" hidden="false" outlineLevel="0" max="5" min="5" style="0" width="11"/>
    <col collapsed="false" customWidth="true" hidden="false" outlineLevel="0" max="6" min="6" style="0" width="30"/>
    <col collapsed="false" customWidth="true" hidden="false" outlineLevel="0" max="7" min="7" style="0" width="13"/>
    <col collapsed="false" customWidth="true" hidden="false" outlineLevel="0" max="8" min="8" style="0" width="22"/>
    <col collapsed="false" customWidth="true" hidden="false" outlineLevel="0" max="9" min="9" style="0" width="23"/>
    <col collapsed="false" customWidth="true" hidden="false" outlineLevel="0" max="10" min="10" style="0" width="30"/>
    <col collapsed="false" customWidth="true" hidden="false" outlineLevel="0" max="11" min="11" style="0" width="14"/>
    <col collapsed="false" customWidth="true" hidden="false" outlineLevel="0" max="12" min="12" style="0" width="12"/>
    <col collapsed="false" customWidth="true" hidden="false" outlineLevel="0" max="14" min="13" style="0" width="13"/>
    <col collapsed="false" customWidth="true" hidden="false" outlineLevel="0" max="16" min="15" style="0" width="12"/>
    <col collapsed="false" customWidth="true" hidden="false" outlineLevel="0" max="19" min="17" style="0" width="13"/>
    <col collapsed="false" customWidth="true" hidden="false" outlineLevel="0" max="20" min="20" style="0" width="70"/>
  </cols>
  <sheetData>
    <row r="1" customFormat="false" ht="19.7" hidden="false" customHeight="false" outlineLevel="0" collapsed="false">
      <c r="A1" s="1" t="s">
        <v>36</v>
      </c>
    </row>
    <row r="2" customFormat="false" ht="15" hidden="false" customHeight="false" outlineLevel="0" collapsed="false">
      <c r="A2" s="2" t="s">
        <v>37</v>
      </c>
    </row>
    <row r="3" customFormat="false" ht="15" hidden="false" customHeight="false" outlineLevel="0" collapsed="false">
      <c r="A3" s="2" t="s">
        <v>38</v>
      </c>
    </row>
    <row r="5" customFormat="false" ht="43.5" hidden="false" customHeight="true" outlineLevel="0" collapsed="false">
      <c r="A5" s="8" t="s">
        <v>39</v>
      </c>
      <c r="B5" s="8" t="s">
        <v>40</v>
      </c>
      <c r="C5" s="8" t="s">
        <v>41</v>
      </c>
      <c r="D5" s="8" t="s">
        <v>42</v>
      </c>
      <c r="E5" s="8" t="s">
        <v>43</v>
      </c>
      <c r="F5" s="8" t="s">
        <v>44</v>
      </c>
      <c r="G5" s="8" t="s">
        <v>45</v>
      </c>
      <c r="H5" s="8" t="s">
        <v>46</v>
      </c>
      <c r="I5" s="8" t="s">
        <v>47</v>
      </c>
      <c r="J5" s="8" t="s">
        <v>48</v>
      </c>
      <c r="K5" s="8" t="s">
        <v>49</v>
      </c>
      <c r="L5" s="8" t="s">
        <v>50</v>
      </c>
      <c r="M5" s="8" t="s">
        <v>51</v>
      </c>
      <c r="N5" s="8" t="s">
        <v>52</v>
      </c>
      <c r="O5" s="8" t="s">
        <v>53</v>
      </c>
      <c r="P5" s="8" t="s">
        <v>54</v>
      </c>
      <c r="Q5" s="8" t="s">
        <v>55</v>
      </c>
      <c r="R5" s="8" t="s">
        <v>56</v>
      </c>
      <c r="S5" s="8" t="s">
        <v>57</v>
      </c>
      <c r="T5" s="8" t="s">
        <v>58</v>
      </c>
    </row>
    <row r="6" customFormat="false" ht="30" hidden="false" customHeight="true" outlineLevel="0" collapsed="false">
      <c r="A6" s="9" t="n">
        <v>1</v>
      </c>
      <c r="B6" s="15" t="s">
        <v>16</v>
      </c>
      <c r="C6" s="15" t="s">
        <v>59</v>
      </c>
      <c r="D6" s="15" t="s">
        <v>16</v>
      </c>
      <c r="E6" s="15" t="s">
        <v>60</v>
      </c>
      <c r="F6" s="11" t="s">
        <v>61</v>
      </c>
      <c r="G6" s="16" t="n">
        <v>46078</v>
      </c>
      <c r="H6" s="17" t="s">
        <v>62</v>
      </c>
      <c r="I6" s="17" t="s">
        <v>63</v>
      </c>
      <c r="J6" s="11" t="s">
        <v>64</v>
      </c>
      <c r="K6" s="16"/>
      <c r="L6" s="10" t="n">
        <f aca="false">IF(K6&lt;&gt;"",K6,G6)</f>
        <v>46078</v>
      </c>
      <c r="M6" s="10" t="n">
        <f aca="false">EDATE(L6,Supuestos!$C$5)</f>
        <v>46259</v>
      </c>
      <c r="N6" s="16" t="n">
        <v>46314</v>
      </c>
      <c r="O6" s="18" t="n">
        <f aca="false">N6-M6</f>
        <v>55</v>
      </c>
      <c r="P6" s="9" t="str">
        <f aca="false">IF(M6&lt;Supuestos!$C$4,"Vencido",IF(M6-Supuestos!$C$4&lt;=Supuestos!$C$6,"En ventana","Al día"))</f>
        <v>Vencido</v>
      </c>
      <c r="Q6" s="10" t="n">
        <f aca="false">WORKDAY(EDATE(N6,Supuestos!$C$5)-1,1,Festivos)</f>
        <v>46496</v>
      </c>
      <c r="R6" s="10" t="n">
        <f aca="false">WORKDAY(EDATE(Q6,Supuestos!$C$5)-1,1,Festivos)</f>
        <v>46679</v>
      </c>
      <c r="S6" s="10" t="n">
        <f aca="false">WORKDAY(EDATE(R6,Supuestos!$C$5)-1,1,Festivos)</f>
        <v>46862</v>
      </c>
      <c r="T6" s="11"/>
    </row>
    <row r="7" customFormat="false" ht="30" hidden="false" customHeight="true" outlineLevel="0" collapsed="false">
      <c r="A7" s="9" t="n">
        <v>2</v>
      </c>
      <c r="B7" s="15" t="s">
        <v>16</v>
      </c>
      <c r="C7" s="15" t="s">
        <v>65</v>
      </c>
      <c r="D7" s="15" t="s">
        <v>16</v>
      </c>
      <c r="E7" s="15" t="s">
        <v>66</v>
      </c>
      <c r="F7" s="11" t="s">
        <v>61</v>
      </c>
      <c r="G7" s="16" t="n">
        <v>46004</v>
      </c>
      <c r="H7" s="17" t="s">
        <v>62</v>
      </c>
      <c r="I7" s="17" t="s">
        <v>67</v>
      </c>
      <c r="J7" s="11" t="s">
        <v>68</v>
      </c>
      <c r="K7" s="16"/>
      <c r="L7" s="10" t="n">
        <f aca="false">IF(K7&lt;&gt;"",K7,G7)</f>
        <v>46004</v>
      </c>
      <c r="M7" s="10" t="n">
        <f aca="false">EDATE(L7,Supuestos!$C$5)</f>
        <v>46186</v>
      </c>
      <c r="N7" s="16" t="n">
        <v>46314</v>
      </c>
      <c r="O7" s="18" t="n">
        <f aca="false">N7-M7</f>
        <v>128</v>
      </c>
      <c r="P7" s="9" t="str">
        <f aca="false">IF(M7&lt;Supuestos!$C$4,"Vencido",IF(M7-Supuestos!$C$4&lt;=Supuestos!$C$6,"En ventana","Al día"))</f>
        <v>Vencido</v>
      </c>
      <c r="Q7" s="10" t="n">
        <f aca="false">WORKDAY(EDATE(N7,Supuestos!$C$5)-1,1,Festivos)</f>
        <v>46496</v>
      </c>
      <c r="R7" s="10" t="n">
        <f aca="false">WORKDAY(EDATE(Q7,Supuestos!$C$5)-1,1,Festivos)</f>
        <v>46679</v>
      </c>
      <c r="S7" s="10" t="n">
        <f aca="false">WORKDAY(EDATE(R7,Supuestos!$C$5)-1,1,Festivos)</f>
        <v>46862</v>
      </c>
      <c r="T7" s="11"/>
    </row>
    <row r="8" customFormat="false" ht="30" hidden="false" customHeight="true" outlineLevel="0" collapsed="false">
      <c r="A8" s="9" t="n">
        <v>3</v>
      </c>
      <c r="B8" s="15" t="s">
        <v>16</v>
      </c>
      <c r="C8" s="15" t="s">
        <v>69</v>
      </c>
      <c r="D8" s="15" t="s">
        <v>16</v>
      </c>
      <c r="E8" s="15" t="s">
        <v>70</v>
      </c>
      <c r="F8" s="11" t="s">
        <v>71</v>
      </c>
      <c r="G8" s="16" t="n">
        <v>45960</v>
      </c>
      <c r="H8" s="17" t="s">
        <v>62</v>
      </c>
      <c r="I8" s="17" t="s">
        <v>63</v>
      </c>
      <c r="J8" s="11" t="s">
        <v>72</v>
      </c>
      <c r="K8" s="19" t="n">
        <v>46127</v>
      </c>
      <c r="L8" s="10" t="n">
        <f aca="false">IF(K8&lt;&gt;"",K8,G8)</f>
        <v>46127</v>
      </c>
      <c r="M8" s="10" t="n">
        <f aca="false">EDATE(L8,Supuestos!$C$5)</f>
        <v>46310</v>
      </c>
      <c r="N8" s="16" t="n">
        <v>46314</v>
      </c>
      <c r="O8" s="18" t="n">
        <f aca="false">N8-M8</f>
        <v>4</v>
      </c>
      <c r="P8" s="9" t="str">
        <f aca="false">IF(M8&lt;Supuestos!$C$4,"Vencido",IF(M8-Supuestos!$C$4&lt;=Supuestos!$C$6,"En ventana","Al día"))</f>
        <v>En ventana</v>
      </c>
      <c r="Q8" s="10" t="n">
        <f aca="false">WORKDAY(EDATE(N8,Supuestos!$C$5)-1,1,Festivos)</f>
        <v>46496</v>
      </c>
      <c r="R8" s="10" t="n">
        <f aca="false">WORKDAY(EDATE(Q8,Supuestos!$C$5)-1,1,Festivos)</f>
        <v>46679</v>
      </c>
      <c r="S8" s="10" t="n">
        <f aca="false">WORKDAY(EDATE(R8,Supuestos!$C$5)-1,1,Festivos)</f>
        <v>46862</v>
      </c>
      <c r="T8" s="11" t="s">
        <v>73</v>
      </c>
    </row>
    <row r="9" customFormat="false" ht="45" hidden="false" customHeight="true" outlineLevel="0" collapsed="false">
      <c r="A9" s="9" t="n">
        <v>4</v>
      </c>
      <c r="B9" s="15" t="s">
        <v>16</v>
      </c>
      <c r="C9" s="15" t="s">
        <v>69</v>
      </c>
      <c r="D9" s="15" t="s">
        <v>16</v>
      </c>
      <c r="E9" s="15" t="s">
        <v>74</v>
      </c>
      <c r="F9" s="11" t="s">
        <v>71</v>
      </c>
      <c r="G9" s="16" t="n">
        <v>45968</v>
      </c>
      <c r="H9" s="17" t="s">
        <v>62</v>
      </c>
      <c r="I9" s="17" t="s">
        <v>63</v>
      </c>
      <c r="J9" s="11" t="s">
        <v>75</v>
      </c>
      <c r="K9" s="19" t="n">
        <v>46127</v>
      </c>
      <c r="L9" s="10" t="n">
        <f aca="false">IF(K9&lt;&gt;"",K9,G9)</f>
        <v>46127</v>
      </c>
      <c r="M9" s="10" t="n">
        <f aca="false">EDATE(L9,Supuestos!$C$5)</f>
        <v>46310</v>
      </c>
      <c r="N9" s="16" t="n">
        <v>46314</v>
      </c>
      <c r="O9" s="18" t="n">
        <f aca="false">N9-M9</f>
        <v>4</v>
      </c>
      <c r="P9" s="9" t="str">
        <f aca="false">IF(M9&lt;Supuestos!$C$4,"Vencido",IF(M9-Supuestos!$C$4&lt;=Supuestos!$C$6,"En ventana","Al día"))</f>
        <v>En ventana</v>
      </c>
      <c r="Q9" s="10" t="n">
        <f aca="false">WORKDAY(EDATE(N9,Supuestos!$C$5)-1,1,Festivos)</f>
        <v>46496</v>
      </c>
      <c r="R9" s="10" t="n">
        <f aca="false">WORKDAY(EDATE(Q9,Supuestos!$C$5)-1,1,Festivos)</f>
        <v>46679</v>
      </c>
      <c r="S9" s="10" t="n">
        <f aca="false">WORKDAY(EDATE(R9,Supuestos!$C$5)-1,1,Festivos)</f>
        <v>46862</v>
      </c>
      <c r="T9" s="11" t="s">
        <v>76</v>
      </c>
    </row>
    <row r="10" customFormat="false" ht="30" hidden="false" customHeight="true" outlineLevel="0" collapsed="false">
      <c r="A10" s="9" t="n">
        <v>5</v>
      </c>
      <c r="B10" s="15" t="s">
        <v>77</v>
      </c>
      <c r="C10" s="15" t="s">
        <v>78</v>
      </c>
      <c r="D10" s="15" t="s">
        <v>79</v>
      </c>
      <c r="E10" s="15" t="s">
        <v>80</v>
      </c>
      <c r="F10" s="11" t="s">
        <v>81</v>
      </c>
      <c r="G10" s="16" t="n">
        <v>46157</v>
      </c>
      <c r="H10" s="17" t="s">
        <v>62</v>
      </c>
      <c r="I10" s="17" t="s">
        <v>63</v>
      </c>
      <c r="J10" s="11" t="s">
        <v>82</v>
      </c>
      <c r="K10" s="16"/>
      <c r="L10" s="10" t="n">
        <f aca="false">IF(K10&lt;&gt;"",K10,G10)</f>
        <v>46157</v>
      </c>
      <c r="M10" s="10" t="n">
        <f aca="false">EDATE(L10,Supuestos!$C$5)</f>
        <v>46341</v>
      </c>
      <c r="N10" s="16" t="n">
        <v>46314</v>
      </c>
      <c r="O10" s="18" t="n">
        <f aca="false">N10-M10</f>
        <v>-27</v>
      </c>
      <c r="P10" s="9" t="str">
        <f aca="false">IF(M10&lt;Supuestos!$C$4,"Vencido",IF(M10-Supuestos!$C$4&lt;=Supuestos!$C$6,"En ventana","Al día"))</f>
        <v>Al día</v>
      </c>
      <c r="Q10" s="10" t="n">
        <f aca="false">WORKDAY(EDATE(N10,Supuestos!$C$5)-1,1,Festivos)</f>
        <v>46496</v>
      </c>
      <c r="R10" s="10" t="n">
        <f aca="false">WORKDAY(EDATE(Q10,Supuestos!$C$5)-1,1,Festivos)</f>
        <v>46679</v>
      </c>
      <c r="S10" s="10" t="n">
        <f aca="false">WORKDAY(EDATE(R10,Supuestos!$C$5)-1,1,Festivos)</f>
        <v>46862</v>
      </c>
      <c r="T10" s="11"/>
    </row>
    <row r="11" customFormat="false" ht="30" hidden="false" customHeight="true" outlineLevel="0" collapsed="false">
      <c r="A11" s="9" t="n">
        <v>6</v>
      </c>
      <c r="B11" s="15" t="s">
        <v>77</v>
      </c>
      <c r="C11" s="15" t="s">
        <v>78</v>
      </c>
      <c r="D11" s="15" t="s">
        <v>79</v>
      </c>
      <c r="E11" s="15" t="s">
        <v>83</v>
      </c>
      <c r="F11" s="11" t="s">
        <v>81</v>
      </c>
      <c r="G11" s="16" t="n">
        <v>46002</v>
      </c>
      <c r="H11" s="17" t="s">
        <v>62</v>
      </c>
      <c r="I11" s="17" t="s">
        <v>63</v>
      </c>
      <c r="J11" s="11" t="s">
        <v>84</v>
      </c>
      <c r="K11" s="16"/>
      <c r="L11" s="10" t="n">
        <f aca="false">IF(K11&lt;&gt;"",K11,G11)</f>
        <v>46002</v>
      </c>
      <c r="M11" s="10" t="n">
        <f aca="false">EDATE(L11,Supuestos!$C$5)</f>
        <v>46184</v>
      </c>
      <c r="N11" s="16" t="n">
        <v>46314</v>
      </c>
      <c r="O11" s="18" t="n">
        <f aca="false">N11-M11</f>
        <v>130</v>
      </c>
      <c r="P11" s="9" t="str">
        <f aca="false">IF(M11&lt;Supuestos!$C$4,"Vencido",IF(M11-Supuestos!$C$4&lt;=Supuestos!$C$6,"En ventana","Al día"))</f>
        <v>Vencido</v>
      </c>
      <c r="Q11" s="10" t="n">
        <f aca="false">WORKDAY(EDATE(N11,Supuestos!$C$5)-1,1,Festivos)</f>
        <v>46496</v>
      </c>
      <c r="R11" s="10" t="n">
        <f aca="false">WORKDAY(EDATE(Q11,Supuestos!$C$5)-1,1,Festivos)</f>
        <v>46679</v>
      </c>
      <c r="S11" s="10" t="n">
        <f aca="false">WORKDAY(EDATE(R11,Supuestos!$C$5)-1,1,Festivos)</f>
        <v>46862</v>
      </c>
      <c r="T11" s="11" t="s">
        <v>85</v>
      </c>
    </row>
    <row r="12" customFormat="false" ht="45" hidden="false" customHeight="true" outlineLevel="0" collapsed="false">
      <c r="A12" s="9" t="n">
        <v>7</v>
      </c>
      <c r="B12" s="15" t="s">
        <v>77</v>
      </c>
      <c r="C12" s="15" t="s">
        <v>78</v>
      </c>
      <c r="D12" s="15" t="s">
        <v>79</v>
      </c>
      <c r="E12" s="15" t="s">
        <v>86</v>
      </c>
      <c r="F12" s="11" t="s">
        <v>87</v>
      </c>
      <c r="G12" s="16" t="n">
        <v>46156</v>
      </c>
      <c r="H12" s="17" t="s">
        <v>62</v>
      </c>
      <c r="I12" s="20" t="n">
        <v>46174</v>
      </c>
      <c r="J12" s="11" t="s">
        <v>88</v>
      </c>
      <c r="K12" s="16"/>
      <c r="L12" s="10" t="n">
        <f aca="false">IF(K12&lt;&gt;"",K12,G12)</f>
        <v>46156</v>
      </c>
      <c r="M12" s="10" t="n">
        <f aca="false">EDATE(L12,Supuestos!$C$5)</f>
        <v>46340</v>
      </c>
      <c r="N12" s="16" t="n">
        <v>46314</v>
      </c>
      <c r="O12" s="18" t="n">
        <f aca="false">N12-M12</f>
        <v>-26</v>
      </c>
      <c r="P12" s="9" t="str">
        <f aca="false">IF(M12&lt;Supuestos!$C$4,"Vencido",IF(M12-Supuestos!$C$4&lt;=Supuestos!$C$6,"En ventana","Al día"))</f>
        <v>En ventana</v>
      </c>
      <c r="Q12" s="10" t="n">
        <f aca="false">WORKDAY(EDATE(N12,Supuestos!$C$5)-1,1,Festivos)</f>
        <v>46496</v>
      </c>
      <c r="R12" s="10" t="n">
        <f aca="false">WORKDAY(EDATE(Q12,Supuestos!$C$5)-1,1,Festivos)</f>
        <v>46679</v>
      </c>
      <c r="S12" s="10" t="n">
        <f aca="false">WORKDAY(EDATE(R12,Supuestos!$C$5)-1,1,Festivos)</f>
        <v>46862</v>
      </c>
      <c r="T12" s="11" t="s">
        <v>89</v>
      </c>
    </row>
    <row r="13" customFormat="false" ht="30" hidden="false" customHeight="true" outlineLevel="0" collapsed="false">
      <c r="A13" s="9" t="n">
        <v>8</v>
      </c>
      <c r="B13" s="15" t="s">
        <v>77</v>
      </c>
      <c r="C13" s="15" t="s">
        <v>78</v>
      </c>
      <c r="D13" s="15" t="s">
        <v>79</v>
      </c>
      <c r="E13" s="15" t="s">
        <v>90</v>
      </c>
      <c r="F13" s="11" t="s">
        <v>81</v>
      </c>
      <c r="G13" s="16" t="n">
        <v>45980</v>
      </c>
      <c r="H13" s="17" t="s">
        <v>62</v>
      </c>
      <c r="I13" s="17" t="s">
        <v>63</v>
      </c>
      <c r="J13" s="11" t="s">
        <v>91</v>
      </c>
      <c r="K13" s="16"/>
      <c r="L13" s="10" t="n">
        <f aca="false">IF(K13&lt;&gt;"",K13,G13)</f>
        <v>45980</v>
      </c>
      <c r="M13" s="10" t="n">
        <f aca="false">EDATE(L13,Supuestos!$C$5)</f>
        <v>46161</v>
      </c>
      <c r="N13" s="16" t="n">
        <v>46314</v>
      </c>
      <c r="O13" s="18" t="n">
        <f aca="false">N13-M13</f>
        <v>153</v>
      </c>
      <c r="P13" s="9" t="str">
        <f aca="false">IF(M13&lt;Supuestos!$C$4,"Vencido",IF(M13-Supuestos!$C$4&lt;=Supuestos!$C$6,"En ventana","Al día"))</f>
        <v>Vencido</v>
      </c>
      <c r="Q13" s="10" t="n">
        <f aca="false">WORKDAY(EDATE(N13,Supuestos!$C$5)-1,1,Festivos)</f>
        <v>46496</v>
      </c>
      <c r="R13" s="10" t="n">
        <f aca="false">WORKDAY(EDATE(Q13,Supuestos!$C$5)-1,1,Festivos)</f>
        <v>46679</v>
      </c>
      <c r="S13" s="10" t="n">
        <f aca="false">WORKDAY(EDATE(R13,Supuestos!$C$5)-1,1,Festivos)</f>
        <v>46862</v>
      </c>
      <c r="T13" s="11"/>
    </row>
    <row r="14" customFormat="false" ht="30" hidden="false" customHeight="true" outlineLevel="0" collapsed="false">
      <c r="A14" s="9" t="n">
        <v>9</v>
      </c>
      <c r="B14" s="15" t="s">
        <v>16</v>
      </c>
      <c r="C14" s="15" t="s">
        <v>69</v>
      </c>
      <c r="D14" s="15" t="s">
        <v>16</v>
      </c>
      <c r="E14" s="15" t="s">
        <v>92</v>
      </c>
      <c r="F14" s="11" t="s">
        <v>61</v>
      </c>
      <c r="G14" s="16" t="n">
        <v>45989</v>
      </c>
      <c r="H14" s="17" t="s">
        <v>62</v>
      </c>
      <c r="I14" s="17" t="s">
        <v>63</v>
      </c>
      <c r="J14" s="11" t="s">
        <v>93</v>
      </c>
      <c r="K14" s="19" t="n">
        <v>46127</v>
      </c>
      <c r="L14" s="10" t="n">
        <f aca="false">IF(K14&lt;&gt;"",K14,G14)</f>
        <v>46127</v>
      </c>
      <c r="M14" s="10" t="n">
        <f aca="false">EDATE(L14,Supuestos!$C$5)</f>
        <v>46310</v>
      </c>
      <c r="N14" s="16" t="n">
        <v>46315</v>
      </c>
      <c r="O14" s="18" t="n">
        <f aca="false">N14-M14</f>
        <v>5</v>
      </c>
      <c r="P14" s="9" t="str">
        <f aca="false">IF(M14&lt;Supuestos!$C$4,"Vencido",IF(M14-Supuestos!$C$4&lt;=Supuestos!$C$6,"En ventana","Al día"))</f>
        <v>En ventana</v>
      </c>
      <c r="Q14" s="10" t="n">
        <f aca="false">WORKDAY(EDATE(N14,Supuestos!$C$5)-1,1,Festivos)</f>
        <v>46497</v>
      </c>
      <c r="R14" s="10" t="n">
        <f aca="false">WORKDAY(EDATE(Q14,Supuestos!$C$5)-1,1,Festivos)</f>
        <v>46680</v>
      </c>
      <c r="S14" s="10" t="n">
        <f aca="false">WORKDAY(EDATE(R14,Supuestos!$C$5)-1,1,Festivos)</f>
        <v>46863</v>
      </c>
      <c r="T14" s="11" t="s">
        <v>73</v>
      </c>
    </row>
    <row r="15" customFormat="false" ht="30" hidden="false" customHeight="true" outlineLevel="0" collapsed="false">
      <c r="A15" s="9" t="n">
        <v>10</v>
      </c>
      <c r="B15" s="15" t="s">
        <v>16</v>
      </c>
      <c r="C15" s="15" t="s">
        <v>69</v>
      </c>
      <c r="D15" s="15" t="s">
        <v>16</v>
      </c>
      <c r="E15" s="15" t="s">
        <v>94</v>
      </c>
      <c r="F15" s="11" t="s">
        <v>61</v>
      </c>
      <c r="G15" s="16" t="n">
        <v>46064</v>
      </c>
      <c r="H15" s="17" t="s">
        <v>62</v>
      </c>
      <c r="I15" s="17" t="s">
        <v>63</v>
      </c>
      <c r="J15" s="11" t="s">
        <v>95</v>
      </c>
      <c r="K15" s="19" t="n">
        <v>46127</v>
      </c>
      <c r="L15" s="10" t="n">
        <f aca="false">IF(K15&lt;&gt;"",K15,G15)</f>
        <v>46127</v>
      </c>
      <c r="M15" s="10" t="n">
        <f aca="false">EDATE(L15,Supuestos!$C$5)</f>
        <v>46310</v>
      </c>
      <c r="N15" s="16" t="n">
        <v>46315</v>
      </c>
      <c r="O15" s="18" t="n">
        <f aca="false">N15-M15</f>
        <v>5</v>
      </c>
      <c r="P15" s="9" t="str">
        <f aca="false">IF(M15&lt;Supuestos!$C$4,"Vencido",IF(M15-Supuestos!$C$4&lt;=Supuestos!$C$6,"En ventana","Al día"))</f>
        <v>En ventana</v>
      </c>
      <c r="Q15" s="10" t="n">
        <f aca="false">WORKDAY(EDATE(N15,Supuestos!$C$5)-1,1,Festivos)</f>
        <v>46497</v>
      </c>
      <c r="R15" s="10" t="n">
        <f aca="false">WORKDAY(EDATE(Q15,Supuestos!$C$5)-1,1,Festivos)</f>
        <v>46680</v>
      </c>
      <c r="S15" s="10" t="n">
        <f aca="false">WORKDAY(EDATE(R15,Supuestos!$C$5)-1,1,Festivos)</f>
        <v>46863</v>
      </c>
      <c r="T15" s="11" t="s">
        <v>73</v>
      </c>
    </row>
    <row r="16" customFormat="false" ht="30" hidden="false" customHeight="true" outlineLevel="0" collapsed="false">
      <c r="A16" s="9" t="n">
        <v>11</v>
      </c>
      <c r="B16" s="15" t="s">
        <v>16</v>
      </c>
      <c r="C16" s="15" t="s">
        <v>69</v>
      </c>
      <c r="D16" s="15" t="s">
        <v>16</v>
      </c>
      <c r="E16" s="15" t="s">
        <v>96</v>
      </c>
      <c r="F16" s="11" t="s">
        <v>81</v>
      </c>
      <c r="G16" s="16" t="n">
        <v>46009</v>
      </c>
      <c r="H16" s="17" t="s">
        <v>62</v>
      </c>
      <c r="I16" s="17" t="s">
        <v>63</v>
      </c>
      <c r="J16" s="11" t="s">
        <v>97</v>
      </c>
      <c r="K16" s="19" t="n">
        <v>46127</v>
      </c>
      <c r="L16" s="10" t="n">
        <f aca="false">IF(K16&lt;&gt;"",K16,G16)</f>
        <v>46127</v>
      </c>
      <c r="M16" s="10" t="n">
        <f aca="false">EDATE(L16,Supuestos!$C$5)</f>
        <v>46310</v>
      </c>
      <c r="N16" s="16" t="n">
        <v>46315</v>
      </c>
      <c r="O16" s="18" t="n">
        <f aca="false">N16-M16</f>
        <v>5</v>
      </c>
      <c r="P16" s="9" t="str">
        <f aca="false">IF(M16&lt;Supuestos!$C$4,"Vencido",IF(M16-Supuestos!$C$4&lt;=Supuestos!$C$6,"En ventana","Al día"))</f>
        <v>En ventana</v>
      </c>
      <c r="Q16" s="10" t="n">
        <f aca="false">WORKDAY(EDATE(N16,Supuestos!$C$5)-1,1,Festivos)</f>
        <v>46497</v>
      </c>
      <c r="R16" s="10" t="n">
        <f aca="false">WORKDAY(EDATE(Q16,Supuestos!$C$5)-1,1,Festivos)</f>
        <v>46680</v>
      </c>
      <c r="S16" s="10" t="n">
        <f aca="false">WORKDAY(EDATE(R16,Supuestos!$C$5)-1,1,Festivos)</f>
        <v>46863</v>
      </c>
      <c r="T16" s="11" t="s">
        <v>73</v>
      </c>
    </row>
    <row r="17" customFormat="false" ht="30" hidden="false" customHeight="true" outlineLevel="0" collapsed="false">
      <c r="A17" s="9" t="n">
        <v>12</v>
      </c>
      <c r="B17" s="15" t="s">
        <v>16</v>
      </c>
      <c r="C17" s="15" t="s">
        <v>69</v>
      </c>
      <c r="D17" s="15" t="s">
        <v>16</v>
      </c>
      <c r="E17" s="15" t="s">
        <v>98</v>
      </c>
      <c r="F17" s="11" t="s">
        <v>81</v>
      </c>
      <c r="G17" s="16" t="n">
        <v>45989</v>
      </c>
      <c r="H17" s="17" t="s">
        <v>62</v>
      </c>
      <c r="I17" s="17" t="s">
        <v>63</v>
      </c>
      <c r="J17" s="11" t="s">
        <v>99</v>
      </c>
      <c r="K17" s="19" t="n">
        <v>46127</v>
      </c>
      <c r="L17" s="10" t="n">
        <f aca="false">IF(K17&lt;&gt;"",K17,G17)</f>
        <v>46127</v>
      </c>
      <c r="M17" s="10" t="n">
        <f aca="false">EDATE(L17,Supuestos!$C$5)</f>
        <v>46310</v>
      </c>
      <c r="N17" s="16" t="n">
        <v>46315</v>
      </c>
      <c r="O17" s="18" t="n">
        <f aca="false">N17-M17</f>
        <v>5</v>
      </c>
      <c r="P17" s="9" t="str">
        <f aca="false">IF(M17&lt;Supuestos!$C$4,"Vencido",IF(M17-Supuestos!$C$4&lt;=Supuestos!$C$6,"En ventana","Al día"))</f>
        <v>En ventana</v>
      </c>
      <c r="Q17" s="10" t="n">
        <f aca="false">WORKDAY(EDATE(N17,Supuestos!$C$5)-1,1,Festivos)</f>
        <v>46497</v>
      </c>
      <c r="R17" s="10" t="n">
        <f aca="false">WORKDAY(EDATE(Q17,Supuestos!$C$5)-1,1,Festivos)</f>
        <v>46680</v>
      </c>
      <c r="S17" s="10" t="n">
        <f aca="false">WORKDAY(EDATE(R17,Supuestos!$C$5)-1,1,Festivos)</f>
        <v>46863</v>
      </c>
      <c r="T17" s="11" t="s">
        <v>73</v>
      </c>
    </row>
    <row r="18" customFormat="false" ht="30" hidden="false" customHeight="true" outlineLevel="0" collapsed="false">
      <c r="A18" s="9" t="n">
        <v>13</v>
      </c>
      <c r="B18" s="15" t="s">
        <v>100</v>
      </c>
      <c r="C18" s="15" t="s">
        <v>101</v>
      </c>
      <c r="D18" s="15" t="s">
        <v>102</v>
      </c>
      <c r="E18" s="15" t="s">
        <v>103</v>
      </c>
      <c r="F18" s="11" t="s">
        <v>61</v>
      </c>
      <c r="G18" s="16" t="n">
        <v>46140</v>
      </c>
      <c r="H18" s="17" t="s">
        <v>62</v>
      </c>
      <c r="I18" s="17" t="s">
        <v>63</v>
      </c>
      <c r="J18" s="11" t="s">
        <v>104</v>
      </c>
      <c r="K18" s="16"/>
      <c r="L18" s="10" t="n">
        <f aca="false">IF(K18&lt;&gt;"",K18,G18)</f>
        <v>46140</v>
      </c>
      <c r="M18" s="10" t="n">
        <f aca="false">EDATE(L18,Supuestos!$C$5)</f>
        <v>46323</v>
      </c>
      <c r="N18" s="16" t="n">
        <v>46315</v>
      </c>
      <c r="O18" s="18" t="n">
        <f aca="false">N18-M18</f>
        <v>-8</v>
      </c>
      <c r="P18" s="9" t="str">
        <f aca="false">IF(M18&lt;Supuestos!$C$4,"Vencido",IF(M18-Supuestos!$C$4&lt;=Supuestos!$C$6,"En ventana","Al día"))</f>
        <v>En ventana</v>
      </c>
      <c r="Q18" s="10" t="n">
        <f aca="false">WORKDAY(EDATE(N18,Supuestos!$C$5)-1,1,Festivos)</f>
        <v>46497</v>
      </c>
      <c r="R18" s="10" t="n">
        <f aca="false">WORKDAY(EDATE(Q18,Supuestos!$C$5)-1,1,Festivos)</f>
        <v>46680</v>
      </c>
      <c r="S18" s="10" t="n">
        <f aca="false">WORKDAY(EDATE(R18,Supuestos!$C$5)-1,1,Festivos)</f>
        <v>46863</v>
      </c>
      <c r="T18" s="11"/>
    </row>
    <row r="19" customFormat="false" ht="30" hidden="false" customHeight="true" outlineLevel="0" collapsed="false">
      <c r="A19" s="9" t="n">
        <v>14</v>
      </c>
      <c r="B19" s="15" t="s">
        <v>16</v>
      </c>
      <c r="C19" s="15" t="s">
        <v>69</v>
      </c>
      <c r="D19" s="15" t="s">
        <v>16</v>
      </c>
      <c r="E19" s="15" t="s">
        <v>105</v>
      </c>
      <c r="F19" s="11" t="s">
        <v>81</v>
      </c>
      <c r="G19" s="16" t="n">
        <v>46010</v>
      </c>
      <c r="H19" s="17" t="s">
        <v>62</v>
      </c>
      <c r="I19" s="17" t="s">
        <v>63</v>
      </c>
      <c r="J19" s="11" t="s">
        <v>106</v>
      </c>
      <c r="K19" s="19" t="n">
        <v>46127</v>
      </c>
      <c r="L19" s="10" t="n">
        <f aca="false">IF(K19&lt;&gt;"",K19,G19)</f>
        <v>46127</v>
      </c>
      <c r="M19" s="10" t="n">
        <f aca="false">EDATE(L19,Supuestos!$C$5)</f>
        <v>46310</v>
      </c>
      <c r="N19" s="16" t="n">
        <v>46316</v>
      </c>
      <c r="O19" s="18" t="n">
        <f aca="false">N19-M19</f>
        <v>6</v>
      </c>
      <c r="P19" s="9" t="str">
        <f aca="false">IF(M19&lt;Supuestos!$C$4,"Vencido",IF(M19-Supuestos!$C$4&lt;=Supuestos!$C$6,"En ventana","Al día"))</f>
        <v>En ventana</v>
      </c>
      <c r="Q19" s="10" t="n">
        <f aca="false">WORKDAY(EDATE(N19,Supuestos!$C$5)-1,1,Festivos)</f>
        <v>46498</v>
      </c>
      <c r="R19" s="10" t="n">
        <f aca="false">WORKDAY(EDATE(Q19,Supuestos!$C$5)-1,1,Festivos)</f>
        <v>46681</v>
      </c>
      <c r="S19" s="10" t="n">
        <f aca="false">WORKDAY(EDATE(R19,Supuestos!$C$5)-1,1,Festivos)</f>
        <v>46864</v>
      </c>
      <c r="T19" s="11" t="s">
        <v>73</v>
      </c>
    </row>
    <row r="20" customFormat="false" ht="30" hidden="false" customHeight="true" outlineLevel="0" collapsed="false">
      <c r="A20" s="9" t="n">
        <v>15</v>
      </c>
      <c r="B20" s="15" t="s">
        <v>16</v>
      </c>
      <c r="C20" s="15" t="s">
        <v>69</v>
      </c>
      <c r="D20" s="15" t="s">
        <v>16</v>
      </c>
      <c r="E20" s="15" t="s">
        <v>107</v>
      </c>
      <c r="F20" s="11" t="s">
        <v>81</v>
      </c>
      <c r="G20" s="16" t="n">
        <v>45966</v>
      </c>
      <c r="H20" s="17" t="s">
        <v>62</v>
      </c>
      <c r="I20" s="17" t="s">
        <v>63</v>
      </c>
      <c r="J20" s="11" t="s">
        <v>108</v>
      </c>
      <c r="K20" s="19" t="n">
        <v>46127</v>
      </c>
      <c r="L20" s="10" t="n">
        <f aca="false">IF(K20&lt;&gt;"",K20,G20)</f>
        <v>46127</v>
      </c>
      <c r="M20" s="10" t="n">
        <f aca="false">EDATE(L20,Supuestos!$C$5)</f>
        <v>46310</v>
      </c>
      <c r="N20" s="16" t="n">
        <v>46316</v>
      </c>
      <c r="O20" s="18" t="n">
        <f aca="false">N20-M20</f>
        <v>6</v>
      </c>
      <c r="P20" s="9" t="str">
        <f aca="false">IF(M20&lt;Supuestos!$C$4,"Vencido",IF(M20-Supuestos!$C$4&lt;=Supuestos!$C$6,"En ventana","Al día"))</f>
        <v>En ventana</v>
      </c>
      <c r="Q20" s="10" t="n">
        <f aca="false">WORKDAY(EDATE(N20,Supuestos!$C$5)-1,1,Festivos)</f>
        <v>46498</v>
      </c>
      <c r="R20" s="10" t="n">
        <f aca="false">WORKDAY(EDATE(Q20,Supuestos!$C$5)-1,1,Festivos)</f>
        <v>46681</v>
      </c>
      <c r="S20" s="10" t="n">
        <f aca="false">WORKDAY(EDATE(R20,Supuestos!$C$5)-1,1,Festivos)</f>
        <v>46864</v>
      </c>
      <c r="T20" s="11" t="s">
        <v>73</v>
      </c>
    </row>
    <row r="21" customFormat="false" ht="30" hidden="false" customHeight="true" outlineLevel="0" collapsed="false">
      <c r="A21" s="9" t="n">
        <v>16</v>
      </c>
      <c r="B21" s="15" t="s">
        <v>16</v>
      </c>
      <c r="C21" s="15" t="s">
        <v>69</v>
      </c>
      <c r="D21" s="15" t="s">
        <v>16</v>
      </c>
      <c r="E21" s="15" t="s">
        <v>109</v>
      </c>
      <c r="F21" s="11" t="s">
        <v>81</v>
      </c>
      <c r="G21" s="16" t="n">
        <v>46063</v>
      </c>
      <c r="H21" s="17" t="s">
        <v>62</v>
      </c>
      <c r="I21" s="17" t="s">
        <v>63</v>
      </c>
      <c r="J21" s="11" t="s">
        <v>110</v>
      </c>
      <c r="K21" s="19" t="n">
        <v>46127</v>
      </c>
      <c r="L21" s="10" t="n">
        <f aca="false">IF(K21&lt;&gt;"",K21,G21)</f>
        <v>46127</v>
      </c>
      <c r="M21" s="10" t="n">
        <f aca="false">EDATE(L21,Supuestos!$C$5)</f>
        <v>46310</v>
      </c>
      <c r="N21" s="16" t="n">
        <v>46316</v>
      </c>
      <c r="O21" s="18" t="n">
        <f aca="false">N21-M21</f>
        <v>6</v>
      </c>
      <c r="P21" s="9" t="str">
        <f aca="false">IF(M21&lt;Supuestos!$C$4,"Vencido",IF(M21-Supuestos!$C$4&lt;=Supuestos!$C$6,"En ventana","Al día"))</f>
        <v>En ventana</v>
      </c>
      <c r="Q21" s="10" t="n">
        <f aca="false">WORKDAY(EDATE(N21,Supuestos!$C$5)-1,1,Festivos)</f>
        <v>46498</v>
      </c>
      <c r="R21" s="10" t="n">
        <f aca="false">WORKDAY(EDATE(Q21,Supuestos!$C$5)-1,1,Festivos)</f>
        <v>46681</v>
      </c>
      <c r="S21" s="10" t="n">
        <f aca="false">WORKDAY(EDATE(R21,Supuestos!$C$5)-1,1,Festivos)</f>
        <v>46864</v>
      </c>
      <c r="T21" s="11" t="s">
        <v>73</v>
      </c>
    </row>
    <row r="22" customFormat="false" ht="30" hidden="false" customHeight="true" outlineLevel="0" collapsed="false">
      <c r="A22" s="9" t="n">
        <v>17</v>
      </c>
      <c r="B22" s="15" t="s">
        <v>16</v>
      </c>
      <c r="C22" s="15" t="s">
        <v>69</v>
      </c>
      <c r="D22" s="15" t="s">
        <v>16</v>
      </c>
      <c r="E22" s="15" t="s">
        <v>111</v>
      </c>
      <c r="F22" s="11" t="s">
        <v>81</v>
      </c>
      <c r="G22" s="16" t="n">
        <v>45966</v>
      </c>
      <c r="H22" s="17" t="s">
        <v>62</v>
      </c>
      <c r="I22" s="17" t="s">
        <v>63</v>
      </c>
      <c r="J22" s="11" t="s">
        <v>112</v>
      </c>
      <c r="K22" s="19" t="n">
        <v>46127</v>
      </c>
      <c r="L22" s="10" t="n">
        <f aca="false">IF(K22&lt;&gt;"",K22,G22)</f>
        <v>46127</v>
      </c>
      <c r="M22" s="10" t="n">
        <f aca="false">EDATE(L22,Supuestos!$C$5)</f>
        <v>46310</v>
      </c>
      <c r="N22" s="16" t="n">
        <v>46316</v>
      </c>
      <c r="O22" s="18" t="n">
        <f aca="false">N22-M22</f>
        <v>6</v>
      </c>
      <c r="P22" s="9" t="str">
        <f aca="false">IF(M22&lt;Supuestos!$C$4,"Vencido",IF(M22-Supuestos!$C$4&lt;=Supuestos!$C$6,"En ventana","Al día"))</f>
        <v>En ventana</v>
      </c>
      <c r="Q22" s="10" t="n">
        <f aca="false">WORKDAY(EDATE(N22,Supuestos!$C$5)-1,1,Festivos)</f>
        <v>46498</v>
      </c>
      <c r="R22" s="10" t="n">
        <f aca="false">WORKDAY(EDATE(Q22,Supuestos!$C$5)-1,1,Festivos)</f>
        <v>46681</v>
      </c>
      <c r="S22" s="10" t="n">
        <f aca="false">WORKDAY(EDATE(R22,Supuestos!$C$5)-1,1,Festivos)</f>
        <v>46864</v>
      </c>
      <c r="T22" s="11" t="s">
        <v>73</v>
      </c>
    </row>
    <row r="23" customFormat="false" ht="30" hidden="false" customHeight="true" outlineLevel="0" collapsed="false">
      <c r="A23" s="9" t="n">
        <v>18</v>
      </c>
      <c r="B23" s="15" t="s">
        <v>16</v>
      </c>
      <c r="C23" s="15" t="s">
        <v>69</v>
      </c>
      <c r="D23" s="15" t="s">
        <v>16</v>
      </c>
      <c r="E23" s="15" t="s">
        <v>113</v>
      </c>
      <c r="F23" s="11" t="s">
        <v>81</v>
      </c>
      <c r="G23" s="16" t="n">
        <v>46015</v>
      </c>
      <c r="H23" s="17" t="s">
        <v>62</v>
      </c>
      <c r="I23" s="17" t="s">
        <v>63</v>
      </c>
      <c r="J23" s="11" t="s">
        <v>114</v>
      </c>
      <c r="K23" s="19" t="n">
        <v>46127</v>
      </c>
      <c r="L23" s="10" t="n">
        <f aca="false">IF(K23&lt;&gt;"",K23,G23)</f>
        <v>46127</v>
      </c>
      <c r="M23" s="10" t="n">
        <f aca="false">EDATE(L23,Supuestos!$C$5)</f>
        <v>46310</v>
      </c>
      <c r="N23" s="16" t="n">
        <v>46317</v>
      </c>
      <c r="O23" s="18" t="n">
        <f aca="false">N23-M23</f>
        <v>7</v>
      </c>
      <c r="P23" s="9" t="str">
        <f aca="false">IF(M23&lt;Supuestos!$C$4,"Vencido",IF(M23-Supuestos!$C$4&lt;=Supuestos!$C$6,"En ventana","Al día"))</f>
        <v>En ventana</v>
      </c>
      <c r="Q23" s="10" t="n">
        <f aca="false">WORKDAY(EDATE(N23,Supuestos!$C$5)-1,1,Festivos)</f>
        <v>46499</v>
      </c>
      <c r="R23" s="10" t="n">
        <f aca="false">WORKDAY(EDATE(Q23,Supuestos!$C$5)-1,1,Festivos)</f>
        <v>46682</v>
      </c>
      <c r="S23" s="10" t="n">
        <f aca="false">WORKDAY(EDATE(R23,Supuestos!$C$5)-1,1,Festivos)</f>
        <v>46867</v>
      </c>
      <c r="T23" s="11" t="s">
        <v>73</v>
      </c>
    </row>
    <row r="24" customFormat="false" ht="30" hidden="false" customHeight="true" outlineLevel="0" collapsed="false">
      <c r="A24" s="9" t="n">
        <v>19</v>
      </c>
      <c r="B24" s="15" t="s">
        <v>16</v>
      </c>
      <c r="C24" s="15" t="s">
        <v>69</v>
      </c>
      <c r="D24" s="15" t="s">
        <v>16</v>
      </c>
      <c r="E24" s="15" t="s">
        <v>115</v>
      </c>
      <c r="F24" s="11" t="s">
        <v>81</v>
      </c>
      <c r="G24" s="16" t="n">
        <v>45960</v>
      </c>
      <c r="H24" s="17" t="s">
        <v>62</v>
      </c>
      <c r="I24" s="17" t="s">
        <v>63</v>
      </c>
      <c r="J24" s="11" t="s">
        <v>116</v>
      </c>
      <c r="K24" s="19" t="n">
        <v>46127</v>
      </c>
      <c r="L24" s="10" t="n">
        <f aca="false">IF(K24&lt;&gt;"",K24,G24)</f>
        <v>46127</v>
      </c>
      <c r="M24" s="10" t="n">
        <f aca="false">EDATE(L24,Supuestos!$C$5)</f>
        <v>46310</v>
      </c>
      <c r="N24" s="16" t="n">
        <v>46317</v>
      </c>
      <c r="O24" s="18" t="n">
        <f aca="false">N24-M24</f>
        <v>7</v>
      </c>
      <c r="P24" s="9" t="str">
        <f aca="false">IF(M24&lt;Supuestos!$C$4,"Vencido",IF(M24-Supuestos!$C$4&lt;=Supuestos!$C$6,"En ventana","Al día"))</f>
        <v>En ventana</v>
      </c>
      <c r="Q24" s="10" t="n">
        <f aca="false">WORKDAY(EDATE(N24,Supuestos!$C$5)-1,1,Festivos)</f>
        <v>46499</v>
      </c>
      <c r="R24" s="10" t="n">
        <f aca="false">WORKDAY(EDATE(Q24,Supuestos!$C$5)-1,1,Festivos)</f>
        <v>46682</v>
      </c>
      <c r="S24" s="10" t="n">
        <f aca="false">WORKDAY(EDATE(R24,Supuestos!$C$5)-1,1,Festivos)</f>
        <v>46867</v>
      </c>
      <c r="T24" s="11" t="s">
        <v>73</v>
      </c>
    </row>
    <row r="25" customFormat="false" ht="30" hidden="false" customHeight="true" outlineLevel="0" collapsed="false">
      <c r="A25" s="9" t="n">
        <v>20</v>
      </c>
      <c r="B25" s="15" t="s">
        <v>16</v>
      </c>
      <c r="C25" s="15" t="s">
        <v>69</v>
      </c>
      <c r="D25" s="15" t="s">
        <v>16</v>
      </c>
      <c r="E25" s="15" t="s">
        <v>117</v>
      </c>
      <c r="F25" s="11" t="s">
        <v>81</v>
      </c>
      <c r="G25" s="16" t="n">
        <v>46010</v>
      </c>
      <c r="H25" s="17" t="s">
        <v>62</v>
      </c>
      <c r="I25" s="17" t="s">
        <v>63</v>
      </c>
      <c r="J25" s="11" t="s">
        <v>118</v>
      </c>
      <c r="K25" s="19" t="n">
        <v>46127</v>
      </c>
      <c r="L25" s="10" t="n">
        <f aca="false">IF(K25&lt;&gt;"",K25,G25)</f>
        <v>46127</v>
      </c>
      <c r="M25" s="10" t="n">
        <f aca="false">EDATE(L25,Supuestos!$C$5)</f>
        <v>46310</v>
      </c>
      <c r="N25" s="16" t="n">
        <v>46317</v>
      </c>
      <c r="O25" s="18" t="n">
        <f aca="false">N25-M25</f>
        <v>7</v>
      </c>
      <c r="P25" s="9" t="str">
        <f aca="false">IF(M25&lt;Supuestos!$C$4,"Vencido",IF(M25-Supuestos!$C$4&lt;=Supuestos!$C$6,"En ventana","Al día"))</f>
        <v>En ventana</v>
      </c>
      <c r="Q25" s="10" t="n">
        <f aca="false">WORKDAY(EDATE(N25,Supuestos!$C$5)-1,1,Festivos)</f>
        <v>46499</v>
      </c>
      <c r="R25" s="10" t="n">
        <f aca="false">WORKDAY(EDATE(Q25,Supuestos!$C$5)-1,1,Festivos)</f>
        <v>46682</v>
      </c>
      <c r="S25" s="10" t="n">
        <f aca="false">WORKDAY(EDATE(R25,Supuestos!$C$5)-1,1,Festivos)</f>
        <v>46867</v>
      </c>
      <c r="T25" s="11" t="s">
        <v>73</v>
      </c>
    </row>
    <row r="26" customFormat="false" ht="30" hidden="false" customHeight="true" outlineLevel="0" collapsed="false">
      <c r="A26" s="9" t="n">
        <v>21</v>
      </c>
      <c r="B26" s="15" t="s">
        <v>16</v>
      </c>
      <c r="C26" s="15" t="s">
        <v>69</v>
      </c>
      <c r="D26" s="15" t="s">
        <v>16</v>
      </c>
      <c r="E26" s="15" t="s">
        <v>119</v>
      </c>
      <c r="F26" s="11" t="s">
        <v>120</v>
      </c>
      <c r="G26" s="16" t="n">
        <v>46083</v>
      </c>
      <c r="H26" s="17" t="s">
        <v>62</v>
      </c>
      <c r="I26" s="17" t="s">
        <v>63</v>
      </c>
      <c r="J26" s="11" t="s">
        <v>121</v>
      </c>
      <c r="K26" s="19" t="n">
        <v>46127</v>
      </c>
      <c r="L26" s="10" t="n">
        <f aca="false">IF(K26&lt;&gt;"",K26,G26)</f>
        <v>46127</v>
      </c>
      <c r="M26" s="10" t="n">
        <f aca="false">EDATE(L26,Supuestos!$C$5)</f>
        <v>46310</v>
      </c>
      <c r="N26" s="16" t="n">
        <v>46317</v>
      </c>
      <c r="O26" s="18" t="n">
        <f aca="false">N26-M26</f>
        <v>7</v>
      </c>
      <c r="P26" s="9" t="str">
        <f aca="false">IF(M26&lt;Supuestos!$C$4,"Vencido",IF(M26-Supuestos!$C$4&lt;=Supuestos!$C$6,"En ventana","Al día"))</f>
        <v>En ventana</v>
      </c>
      <c r="Q26" s="10" t="n">
        <f aca="false">WORKDAY(EDATE(N26,Supuestos!$C$5)-1,1,Festivos)</f>
        <v>46499</v>
      </c>
      <c r="R26" s="10" t="n">
        <f aca="false">WORKDAY(EDATE(Q26,Supuestos!$C$5)-1,1,Festivos)</f>
        <v>46682</v>
      </c>
      <c r="S26" s="10" t="n">
        <f aca="false">WORKDAY(EDATE(R26,Supuestos!$C$5)-1,1,Festivos)</f>
        <v>46867</v>
      </c>
      <c r="T26" s="11" t="s">
        <v>73</v>
      </c>
    </row>
    <row r="27" customFormat="false" ht="30" hidden="false" customHeight="true" outlineLevel="0" collapsed="false">
      <c r="A27" s="9" t="n">
        <v>22</v>
      </c>
      <c r="B27" s="15" t="s">
        <v>16</v>
      </c>
      <c r="C27" s="15" t="s">
        <v>69</v>
      </c>
      <c r="D27" s="15" t="s">
        <v>16</v>
      </c>
      <c r="E27" s="15" t="s">
        <v>122</v>
      </c>
      <c r="F27" s="11" t="s">
        <v>123</v>
      </c>
      <c r="G27" s="16" t="n">
        <v>46002</v>
      </c>
      <c r="H27" s="17" t="s">
        <v>62</v>
      </c>
      <c r="I27" s="17" t="s">
        <v>63</v>
      </c>
      <c r="J27" s="11" t="s">
        <v>124</v>
      </c>
      <c r="K27" s="19" t="n">
        <v>46127</v>
      </c>
      <c r="L27" s="10" t="n">
        <f aca="false">IF(K27&lt;&gt;"",K27,G27)</f>
        <v>46127</v>
      </c>
      <c r="M27" s="10" t="n">
        <f aca="false">EDATE(L27,Supuestos!$C$5)</f>
        <v>46310</v>
      </c>
      <c r="N27" s="16" t="n">
        <v>46318</v>
      </c>
      <c r="O27" s="18" t="n">
        <f aca="false">N27-M27</f>
        <v>8</v>
      </c>
      <c r="P27" s="9" t="str">
        <f aca="false">IF(M27&lt;Supuestos!$C$4,"Vencido",IF(M27-Supuestos!$C$4&lt;=Supuestos!$C$6,"En ventana","Al día"))</f>
        <v>En ventana</v>
      </c>
      <c r="Q27" s="10" t="n">
        <f aca="false">WORKDAY(EDATE(N27,Supuestos!$C$5)-1,1,Festivos)</f>
        <v>46500</v>
      </c>
      <c r="R27" s="10" t="n">
        <f aca="false">WORKDAY(EDATE(Q27,Supuestos!$C$5)-1,1,Festivos)</f>
        <v>46685</v>
      </c>
      <c r="S27" s="10" t="n">
        <f aca="false">WORKDAY(EDATE(R27,Supuestos!$C$5)-1,1,Festivos)</f>
        <v>46868</v>
      </c>
      <c r="T27" s="11" t="s">
        <v>73</v>
      </c>
    </row>
    <row r="28" customFormat="false" ht="30" hidden="false" customHeight="true" outlineLevel="0" collapsed="false">
      <c r="A28" s="9" t="n">
        <v>23</v>
      </c>
      <c r="B28" s="15" t="s">
        <v>16</v>
      </c>
      <c r="C28" s="15" t="s">
        <v>69</v>
      </c>
      <c r="D28" s="15" t="s">
        <v>16</v>
      </c>
      <c r="E28" s="15" t="s">
        <v>125</v>
      </c>
      <c r="F28" s="11" t="s">
        <v>87</v>
      </c>
      <c r="G28" s="16" t="n">
        <v>46004</v>
      </c>
      <c r="H28" s="17" t="s">
        <v>62</v>
      </c>
      <c r="I28" s="17" t="s">
        <v>63</v>
      </c>
      <c r="J28" s="11" t="s">
        <v>126</v>
      </c>
      <c r="K28" s="19" t="n">
        <v>46127</v>
      </c>
      <c r="L28" s="10" t="n">
        <f aca="false">IF(K28&lt;&gt;"",K28,G28)</f>
        <v>46127</v>
      </c>
      <c r="M28" s="10" t="n">
        <f aca="false">EDATE(L28,Supuestos!$C$5)</f>
        <v>46310</v>
      </c>
      <c r="N28" s="16" t="n">
        <v>46318</v>
      </c>
      <c r="O28" s="18" t="n">
        <f aca="false">N28-M28</f>
        <v>8</v>
      </c>
      <c r="P28" s="9" t="str">
        <f aca="false">IF(M28&lt;Supuestos!$C$4,"Vencido",IF(M28-Supuestos!$C$4&lt;=Supuestos!$C$6,"En ventana","Al día"))</f>
        <v>En ventana</v>
      </c>
      <c r="Q28" s="10" t="n">
        <f aca="false">WORKDAY(EDATE(N28,Supuestos!$C$5)-1,1,Festivos)</f>
        <v>46500</v>
      </c>
      <c r="R28" s="10" t="n">
        <f aca="false">WORKDAY(EDATE(Q28,Supuestos!$C$5)-1,1,Festivos)</f>
        <v>46685</v>
      </c>
      <c r="S28" s="10" t="n">
        <f aca="false">WORKDAY(EDATE(R28,Supuestos!$C$5)-1,1,Festivos)</f>
        <v>46868</v>
      </c>
      <c r="T28" s="11" t="s">
        <v>73</v>
      </c>
    </row>
    <row r="29" customFormat="false" ht="30" hidden="false" customHeight="true" outlineLevel="0" collapsed="false">
      <c r="A29" s="9" t="n">
        <v>24</v>
      </c>
      <c r="B29" s="15" t="s">
        <v>16</v>
      </c>
      <c r="C29" s="15" t="s">
        <v>69</v>
      </c>
      <c r="D29" s="15" t="s">
        <v>16</v>
      </c>
      <c r="E29" s="15" t="s">
        <v>127</v>
      </c>
      <c r="F29" s="11" t="s">
        <v>61</v>
      </c>
      <c r="G29" s="16" t="n">
        <v>45980</v>
      </c>
      <c r="H29" s="17" t="s">
        <v>62</v>
      </c>
      <c r="I29" s="17" t="s">
        <v>63</v>
      </c>
      <c r="J29" s="11" t="s">
        <v>128</v>
      </c>
      <c r="K29" s="19" t="n">
        <v>46127</v>
      </c>
      <c r="L29" s="10" t="n">
        <f aca="false">IF(K29&lt;&gt;"",K29,G29)</f>
        <v>46127</v>
      </c>
      <c r="M29" s="10" t="n">
        <f aca="false">EDATE(L29,Supuestos!$C$5)</f>
        <v>46310</v>
      </c>
      <c r="N29" s="16" t="n">
        <v>46318</v>
      </c>
      <c r="O29" s="18" t="n">
        <f aca="false">N29-M29</f>
        <v>8</v>
      </c>
      <c r="P29" s="9" t="str">
        <f aca="false">IF(M29&lt;Supuestos!$C$4,"Vencido",IF(M29-Supuestos!$C$4&lt;=Supuestos!$C$6,"En ventana","Al día"))</f>
        <v>En ventana</v>
      </c>
      <c r="Q29" s="10" t="n">
        <f aca="false">WORKDAY(EDATE(N29,Supuestos!$C$5)-1,1,Festivos)</f>
        <v>46500</v>
      </c>
      <c r="R29" s="10" t="n">
        <f aca="false">WORKDAY(EDATE(Q29,Supuestos!$C$5)-1,1,Festivos)</f>
        <v>46685</v>
      </c>
      <c r="S29" s="10" t="n">
        <f aca="false">WORKDAY(EDATE(R29,Supuestos!$C$5)-1,1,Festivos)</f>
        <v>46868</v>
      </c>
      <c r="T29" s="11" t="s">
        <v>73</v>
      </c>
    </row>
    <row r="30" customFormat="false" ht="30" hidden="false" customHeight="true" outlineLevel="0" collapsed="false">
      <c r="A30" s="9" t="n">
        <v>25</v>
      </c>
      <c r="B30" s="15" t="s">
        <v>16</v>
      </c>
      <c r="C30" s="15" t="s">
        <v>69</v>
      </c>
      <c r="D30" s="15" t="s">
        <v>16</v>
      </c>
      <c r="E30" s="15" t="s">
        <v>129</v>
      </c>
      <c r="F30" s="11" t="s">
        <v>81</v>
      </c>
      <c r="G30" s="16" t="n">
        <v>45966</v>
      </c>
      <c r="H30" s="17" t="s">
        <v>62</v>
      </c>
      <c r="I30" s="17" t="s">
        <v>63</v>
      </c>
      <c r="J30" s="11" t="s">
        <v>130</v>
      </c>
      <c r="K30" s="19" t="n">
        <v>46127</v>
      </c>
      <c r="L30" s="10" t="n">
        <f aca="false">IF(K30&lt;&gt;"",K30,G30)</f>
        <v>46127</v>
      </c>
      <c r="M30" s="10" t="n">
        <f aca="false">EDATE(L30,Supuestos!$C$5)</f>
        <v>46310</v>
      </c>
      <c r="N30" s="16" t="n">
        <v>46318</v>
      </c>
      <c r="O30" s="18" t="n">
        <f aca="false">N30-M30</f>
        <v>8</v>
      </c>
      <c r="P30" s="9" t="str">
        <f aca="false">IF(M30&lt;Supuestos!$C$4,"Vencido",IF(M30-Supuestos!$C$4&lt;=Supuestos!$C$6,"En ventana","Al día"))</f>
        <v>En ventana</v>
      </c>
      <c r="Q30" s="10" t="n">
        <f aca="false">WORKDAY(EDATE(N30,Supuestos!$C$5)-1,1,Festivos)</f>
        <v>46500</v>
      </c>
      <c r="R30" s="10" t="n">
        <f aca="false">WORKDAY(EDATE(Q30,Supuestos!$C$5)-1,1,Festivos)</f>
        <v>46685</v>
      </c>
      <c r="S30" s="10" t="n">
        <f aca="false">WORKDAY(EDATE(R30,Supuestos!$C$5)-1,1,Festivos)</f>
        <v>46868</v>
      </c>
      <c r="T30" s="11" t="s">
        <v>73</v>
      </c>
    </row>
    <row r="31" customFormat="false" ht="45" hidden="false" customHeight="true" outlineLevel="0" collapsed="false">
      <c r="A31" s="9" t="n">
        <v>26</v>
      </c>
      <c r="B31" s="15" t="s">
        <v>16</v>
      </c>
      <c r="C31" s="15" t="s">
        <v>69</v>
      </c>
      <c r="D31" s="15" t="s">
        <v>16</v>
      </c>
      <c r="E31" s="15" t="s">
        <v>131</v>
      </c>
      <c r="F31" s="11" t="s">
        <v>123</v>
      </c>
      <c r="G31" s="16" t="n">
        <v>46015</v>
      </c>
      <c r="H31" s="17" t="s">
        <v>62</v>
      </c>
      <c r="I31" s="17" t="s">
        <v>63</v>
      </c>
      <c r="J31" s="11" t="s">
        <v>132</v>
      </c>
      <c r="K31" s="19" t="n">
        <v>46127</v>
      </c>
      <c r="L31" s="10" t="n">
        <f aca="false">IF(K31&lt;&gt;"",K31,G31)</f>
        <v>46127</v>
      </c>
      <c r="M31" s="10" t="n">
        <f aca="false">EDATE(L31,Supuestos!$C$5)</f>
        <v>46310</v>
      </c>
      <c r="N31" s="16" t="n">
        <v>46321</v>
      </c>
      <c r="O31" s="18" t="n">
        <f aca="false">N31-M31</f>
        <v>11</v>
      </c>
      <c r="P31" s="9" t="str">
        <f aca="false">IF(M31&lt;Supuestos!$C$4,"Vencido",IF(M31-Supuestos!$C$4&lt;=Supuestos!$C$6,"En ventana","Al día"))</f>
        <v>En ventana</v>
      </c>
      <c r="Q31" s="10" t="n">
        <f aca="false">WORKDAY(EDATE(N31,Supuestos!$C$5)-1,1,Festivos)</f>
        <v>46503</v>
      </c>
      <c r="R31" s="10" t="n">
        <f aca="false">WORKDAY(EDATE(Q31,Supuestos!$C$5)-1,1,Festivos)</f>
        <v>46686</v>
      </c>
      <c r="S31" s="10" t="n">
        <f aca="false">WORKDAY(EDATE(R31,Supuestos!$C$5)-1,1,Festivos)</f>
        <v>46869</v>
      </c>
      <c r="T31" s="11" t="s">
        <v>76</v>
      </c>
    </row>
    <row r="32" customFormat="false" ht="30" hidden="false" customHeight="true" outlineLevel="0" collapsed="false">
      <c r="A32" s="9" t="n">
        <v>27</v>
      </c>
      <c r="B32" s="15" t="s">
        <v>16</v>
      </c>
      <c r="C32" s="15" t="s">
        <v>69</v>
      </c>
      <c r="D32" s="15" t="s">
        <v>16</v>
      </c>
      <c r="E32" s="15" t="s">
        <v>133</v>
      </c>
      <c r="F32" s="11" t="s">
        <v>81</v>
      </c>
      <c r="G32" s="16" t="n">
        <v>45960</v>
      </c>
      <c r="H32" s="17" t="s">
        <v>62</v>
      </c>
      <c r="I32" s="17" t="s">
        <v>63</v>
      </c>
      <c r="J32" s="11" t="s">
        <v>108</v>
      </c>
      <c r="K32" s="19" t="n">
        <v>46127</v>
      </c>
      <c r="L32" s="10" t="n">
        <f aca="false">IF(K32&lt;&gt;"",K32,G32)</f>
        <v>46127</v>
      </c>
      <c r="M32" s="10" t="n">
        <f aca="false">EDATE(L32,Supuestos!$C$5)</f>
        <v>46310</v>
      </c>
      <c r="N32" s="16" t="n">
        <v>46321</v>
      </c>
      <c r="O32" s="18" t="n">
        <f aca="false">N32-M32</f>
        <v>11</v>
      </c>
      <c r="P32" s="9" t="str">
        <f aca="false">IF(M32&lt;Supuestos!$C$4,"Vencido",IF(M32-Supuestos!$C$4&lt;=Supuestos!$C$6,"En ventana","Al día"))</f>
        <v>En ventana</v>
      </c>
      <c r="Q32" s="10" t="n">
        <f aca="false">WORKDAY(EDATE(N32,Supuestos!$C$5)-1,1,Festivos)</f>
        <v>46503</v>
      </c>
      <c r="R32" s="10" t="n">
        <f aca="false">WORKDAY(EDATE(Q32,Supuestos!$C$5)-1,1,Festivos)</f>
        <v>46686</v>
      </c>
      <c r="S32" s="10" t="n">
        <f aca="false">WORKDAY(EDATE(R32,Supuestos!$C$5)-1,1,Festivos)</f>
        <v>46869</v>
      </c>
      <c r="T32" s="11" t="s">
        <v>73</v>
      </c>
    </row>
    <row r="33" customFormat="false" ht="30" hidden="false" customHeight="true" outlineLevel="0" collapsed="false">
      <c r="A33" s="9" t="n">
        <v>28</v>
      </c>
      <c r="B33" s="15" t="s">
        <v>16</v>
      </c>
      <c r="C33" s="15" t="s">
        <v>69</v>
      </c>
      <c r="D33" s="15" t="s">
        <v>16</v>
      </c>
      <c r="E33" s="15" t="s">
        <v>134</v>
      </c>
      <c r="F33" s="11" t="s">
        <v>81</v>
      </c>
      <c r="G33" s="16" t="n">
        <v>46010</v>
      </c>
      <c r="H33" s="17" t="s">
        <v>62</v>
      </c>
      <c r="I33" s="17" t="s">
        <v>63</v>
      </c>
      <c r="J33" s="11" t="s">
        <v>135</v>
      </c>
      <c r="K33" s="19" t="n">
        <v>46127</v>
      </c>
      <c r="L33" s="10" t="n">
        <f aca="false">IF(K33&lt;&gt;"",K33,G33)</f>
        <v>46127</v>
      </c>
      <c r="M33" s="10" t="n">
        <f aca="false">EDATE(L33,Supuestos!$C$5)</f>
        <v>46310</v>
      </c>
      <c r="N33" s="16" t="n">
        <v>46321</v>
      </c>
      <c r="O33" s="18" t="n">
        <f aca="false">N33-M33</f>
        <v>11</v>
      </c>
      <c r="P33" s="9" t="str">
        <f aca="false">IF(M33&lt;Supuestos!$C$4,"Vencido",IF(M33-Supuestos!$C$4&lt;=Supuestos!$C$6,"En ventana","Al día"))</f>
        <v>En ventana</v>
      </c>
      <c r="Q33" s="10" t="n">
        <f aca="false">WORKDAY(EDATE(N33,Supuestos!$C$5)-1,1,Festivos)</f>
        <v>46503</v>
      </c>
      <c r="R33" s="10" t="n">
        <f aca="false">WORKDAY(EDATE(Q33,Supuestos!$C$5)-1,1,Festivos)</f>
        <v>46686</v>
      </c>
      <c r="S33" s="10" t="n">
        <f aca="false">WORKDAY(EDATE(R33,Supuestos!$C$5)-1,1,Festivos)</f>
        <v>46869</v>
      </c>
      <c r="T33" s="11" t="s">
        <v>73</v>
      </c>
    </row>
    <row r="34" customFormat="false" ht="30" hidden="false" customHeight="true" outlineLevel="0" collapsed="false">
      <c r="A34" s="9" t="n">
        <v>29</v>
      </c>
      <c r="B34" s="15" t="s">
        <v>16</v>
      </c>
      <c r="C34" s="15" t="s">
        <v>69</v>
      </c>
      <c r="D34" s="15" t="s">
        <v>16</v>
      </c>
      <c r="E34" s="15" t="s">
        <v>136</v>
      </c>
      <c r="F34" s="11" t="s">
        <v>71</v>
      </c>
      <c r="G34" s="16" t="n">
        <v>46002</v>
      </c>
      <c r="H34" s="17" t="s">
        <v>62</v>
      </c>
      <c r="I34" s="17" t="s">
        <v>63</v>
      </c>
      <c r="J34" s="11" t="s">
        <v>137</v>
      </c>
      <c r="K34" s="19" t="n">
        <v>46127</v>
      </c>
      <c r="L34" s="10" t="n">
        <f aca="false">IF(K34&lt;&gt;"",K34,G34)</f>
        <v>46127</v>
      </c>
      <c r="M34" s="10" t="n">
        <f aca="false">EDATE(L34,Supuestos!$C$5)</f>
        <v>46310</v>
      </c>
      <c r="N34" s="16" t="n">
        <v>46321</v>
      </c>
      <c r="O34" s="18" t="n">
        <f aca="false">N34-M34</f>
        <v>11</v>
      </c>
      <c r="P34" s="9" t="str">
        <f aca="false">IF(M34&lt;Supuestos!$C$4,"Vencido",IF(M34-Supuestos!$C$4&lt;=Supuestos!$C$6,"En ventana","Al día"))</f>
        <v>En ventana</v>
      </c>
      <c r="Q34" s="10" t="n">
        <f aca="false">WORKDAY(EDATE(N34,Supuestos!$C$5)-1,1,Festivos)</f>
        <v>46503</v>
      </c>
      <c r="R34" s="10" t="n">
        <f aca="false">WORKDAY(EDATE(Q34,Supuestos!$C$5)-1,1,Festivos)</f>
        <v>46686</v>
      </c>
      <c r="S34" s="10" t="n">
        <f aca="false">WORKDAY(EDATE(R34,Supuestos!$C$5)-1,1,Festivos)</f>
        <v>46869</v>
      </c>
      <c r="T34" s="11" t="s">
        <v>138</v>
      </c>
    </row>
    <row r="35" customFormat="false" ht="30" hidden="false" customHeight="true" outlineLevel="0" collapsed="false">
      <c r="A35" s="9" t="n">
        <v>30</v>
      </c>
      <c r="B35" s="15" t="s">
        <v>77</v>
      </c>
      <c r="C35" s="15" t="s">
        <v>78</v>
      </c>
      <c r="D35" s="15" t="s">
        <v>79</v>
      </c>
      <c r="E35" s="15" t="s">
        <v>139</v>
      </c>
      <c r="F35" s="11" t="s">
        <v>140</v>
      </c>
      <c r="G35" s="16" t="n">
        <v>46175</v>
      </c>
      <c r="H35" s="17" t="s">
        <v>141</v>
      </c>
      <c r="I35" s="20" t="n">
        <v>46176</v>
      </c>
      <c r="J35" s="11"/>
      <c r="K35" s="16"/>
      <c r="L35" s="10" t="n">
        <f aca="false">IF(K35&lt;&gt;"",K35,G35)</f>
        <v>46175</v>
      </c>
      <c r="M35" s="10" t="n">
        <f aca="false">EDATE(L35,Supuestos!$C$5)</f>
        <v>46358</v>
      </c>
      <c r="N35" s="16" t="n">
        <v>46363</v>
      </c>
      <c r="O35" s="18" t="n">
        <f aca="false">N35-M35</f>
        <v>5</v>
      </c>
      <c r="P35" s="9" t="str">
        <f aca="false">IF(M35&lt;Supuestos!$C$4,"Vencido",IF(M35-Supuestos!$C$4&lt;=Supuestos!$C$6,"En ventana","Al día"))</f>
        <v>Al día</v>
      </c>
      <c r="Q35" s="10" t="n">
        <f aca="false">WORKDAY(EDATE(N35,Supuestos!$C$5)-1,1,Festivos)</f>
        <v>46546</v>
      </c>
      <c r="R35" s="10" t="n">
        <f aca="false">WORKDAY(EDATE(Q35,Supuestos!$C$5)-1,1,Festivos)</f>
        <v>46730</v>
      </c>
      <c r="S35" s="10" t="n">
        <f aca="false">WORKDAY(EDATE(R35,Supuestos!$C$5)-1,1,Festivos)</f>
        <v>46913</v>
      </c>
      <c r="T35" s="11" t="s">
        <v>142</v>
      </c>
    </row>
    <row r="36" customFormat="false" ht="30" hidden="false" customHeight="true" outlineLevel="0" collapsed="false">
      <c r="A36" s="9" t="n">
        <v>31</v>
      </c>
      <c r="B36" s="15" t="s">
        <v>77</v>
      </c>
      <c r="C36" s="15" t="s">
        <v>78</v>
      </c>
      <c r="D36" s="15" t="s">
        <v>79</v>
      </c>
      <c r="E36" s="15" t="s">
        <v>143</v>
      </c>
      <c r="F36" s="11" t="s">
        <v>87</v>
      </c>
      <c r="G36" s="16" t="n">
        <v>46204</v>
      </c>
      <c r="H36" s="17" t="s">
        <v>141</v>
      </c>
      <c r="I36" s="17" t="s">
        <v>144</v>
      </c>
      <c r="J36" s="11" t="s">
        <v>145</v>
      </c>
      <c r="K36" s="16"/>
      <c r="L36" s="10" t="n">
        <f aca="false">IF(K36&lt;&gt;"",K36,G36)</f>
        <v>46204</v>
      </c>
      <c r="M36" s="10" t="n">
        <f aca="false">EDATE(L36,Supuestos!$C$5)</f>
        <v>46388</v>
      </c>
      <c r="N36" s="16" t="n">
        <v>46363</v>
      </c>
      <c r="O36" s="18" t="n">
        <f aca="false">N36-M36</f>
        <v>-25</v>
      </c>
      <c r="P36" s="9" t="str">
        <f aca="false">IF(M36&lt;Supuestos!$C$4,"Vencido",IF(M36-Supuestos!$C$4&lt;=Supuestos!$C$6,"En ventana","Al día"))</f>
        <v>Al día</v>
      </c>
      <c r="Q36" s="10" t="n">
        <f aca="false">WORKDAY(EDATE(N36,Supuestos!$C$5)-1,1,Festivos)</f>
        <v>46546</v>
      </c>
      <c r="R36" s="10" t="n">
        <f aca="false">WORKDAY(EDATE(Q36,Supuestos!$C$5)-1,1,Festivos)</f>
        <v>46730</v>
      </c>
      <c r="S36" s="10" t="n">
        <f aca="false">WORKDAY(EDATE(R36,Supuestos!$C$5)-1,1,Festivos)</f>
        <v>46913</v>
      </c>
      <c r="T36" s="11" t="s">
        <v>146</v>
      </c>
    </row>
    <row r="37" customFormat="false" ht="15" hidden="false" customHeight="true" outlineLevel="0" collapsed="false">
      <c r="A37" s="9" t="n">
        <v>32</v>
      </c>
      <c r="B37" s="15" t="s">
        <v>77</v>
      </c>
      <c r="C37" s="15" t="s">
        <v>78</v>
      </c>
      <c r="D37" s="15" t="s">
        <v>79</v>
      </c>
      <c r="E37" s="15" t="s">
        <v>147</v>
      </c>
      <c r="F37" s="11" t="s">
        <v>81</v>
      </c>
      <c r="G37" s="16" t="n">
        <v>46178</v>
      </c>
      <c r="H37" s="17" t="s">
        <v>141</v>
      </c>
      <c r="I37" s="20" t="n">
        <v>46179</v>
      </c>
      <c r="J37" s="11"/>
      <c r="K37" s="16"/>
      <c r="L37" s="10" t="n">
        <f aca="false">IF(K37&lt;&gt;"",K37,G37)</f>
        <v>46178</v>
      </c>
      <c r="M37" s="10" t="n">
        <f aca="false">EDATE(L37,Supuestos!$C$5)</f>
        <v>46361</v>
      </c>
      <c r="N37" s="16" t="n">
        <v>46363</v>
      </c>
      <c r="O37" s="18" t="n">
        <f aca="false">N37-M37</f>
        <v>2</v>
      </c>
      <c r="P37" s="9" t="str">
        <f aca="false">IF(M37&lt;Supuestos!$C$4,"Vencido",IF(M37-Supuestos!$C$4&lt;=Supuestos!$C$6,"En ventana","Al día"))</f>
        <v>Al día</v>
      </c>
      <c r="Q37" s="10" t="n">
        <f aca="false">WORKDAY(EDATE(N37,Supuestos!$C$5)-1,1,Festivos)</f>
        <v>46546</v>
      </c>
      <c r="R37" s="10" t="n">
        <f aca="false">WORKDAY(EDATE(Q37,Supuestos!$C$5)-1,1,Festivos)</f>
        <v>46730</v>
      </c>
      <c r="S37" s="10" t="n">
        <f aca="false">WORKDAY(EDATE(R37,Supuestos!$C$5)-1,1,Festivos)</f>
        <v>46913</v>
      </c>
      <c r="T37" s="11"/>
    </row>
    <row r="38" customFormat="false" ht="30" hidden="false" customHeight="true" outlineLevel="0" collapsed="false">
      <c r="A38" s="9" t="n">
        <v>33</v>
      </c>
      <c r="B38" s="15" t="s">
        <v>77</v>
      </c>
      <c r="C38" s="15" t="s">
        <v>78</v>
      </c>
      <c r="D38" s="15" t="s">
        <v>79</v>
      </c>
      <c r="E38" s="15" t="s">
        <v>148</v>
      </c>
      <c r="F38" s="11" t="s">
        <v>71</v>
      </c>
      <c r="G38" s="16" t="n">
        <v>46182</v>
      </c>
      <c r="H38" s="17" t="s">
        <v>141</v>
      </c>
      <c r="I38" s="20" t="n">
        <v>46183</v>
      </c>
      <c r="J38" s="11"/>
      <c r="K38" s="16"/>
      <c r="L38" s="10" t="n">
        <f aca="false">IF(K38&lt;&gt;"",K38,G38)</f>
        <v>46182</v>
      </c>
      <c r="M38" s="10" t="n">
        <f aca="false">EDATE(L38,Supuestos!$C$5)</f>
        <v>46365</v>
      </c>
      <c r="N38" s="16" t="n">
        <v>46363</v>
      </c>
      <c r="O38" s="18" t="n">
        <f aca="false">N38-M38</f>
        <v>-2</v>
      </c>
      <c r="P38" s="9" t="str">
        <f aca="false">IF(M38&lt;Supuestos!$C$4,"Vencido",IF(M38-Supuestos!$C$4&lt;=Supuestos!$C$6,"En ventana","Al día"))</f>
        <v>Al día</v>
      </c>
      <c r="Q38" s="10" t="n">
        <f aca="false">WORKDAY(EDATE(N38,Supuestos!$C$5)-1,1,Festivos)</f>
        <v>46546</v>
      </c>
      <c r="R38" s="10" t="n">
        <f aca="false">WORKDAY(EDATE(Q38,Supuestos!$C$5)-1,1,Festivos)</f>
        <v>46730</v>
      </c>
      <c r="S38" s="10" t="n">
        <f aca="false">WORKDAY(EDATE(R38,Supuestos!$C$5)-1,1,Festivos)</f>
        <v>46913</v>
      </c>
      <c r="T38" s="11"/>
    </row>
    <row r="39" customFormat="false" ht="15" hidden="false" customHeight="true" outlineLevel="0" collapsed="false">
      <c r="A39" s="9" t="n">
        <v>34</v>
      </c>
      <c r="B39" s="15" t="s">
        <v>100</v>
      </c>
      <c r="C39" s="15" t="s">
        <v>101</v>
      </c>
      <c r="D39" s="15" t="s">
        <v>102</v>
      </c>
      <c r="E39" s="15" t="s">
        <v>149</v>
      </c>
      <c r="F39" s="11" t="s">
        <v>61</v>
      </c>
      <c r="G39" s="16" t="n">
        <v>46206</v>
      </c>
      <c r="H39" s="17" t="s">
        <v>141</v>
      </c>
      <c r="I39" s="20" t="n">
        <v>46207</v>
      </c>
      <c r="J39" s="11"/>
      <c r="K39" s="16"/>
      <c r="L39" s="10" t="n">
        <f aca="false">IF(K39&lt;&gt;"",K39,G39)</f>
        <v>46206</v>
      </c>
      <c r="M39" s="10" t="n">
        <f aca="false">EDATE(L39,Supuestos!$C$5)</f>
        <v>46390</v>
      </c>
      <c r="N39" s="16" t="n">
        <v>46365</v>
      </c>
      <c r="O39" s="18" t="n">
        <f aca="false">N39-M39</f>
        <v>-25</v>
      </c>
      <c r="P39" s="9" t="str">
        <f aca="false">IF(M39&lt;Supuestos!$C$4,"Vencido",IF(M39-Supuestos!$C$4&lt;=Supuestos!$C$6,"En ventana","Al día"))</f>
        <v>Al día</v>
      </c>
      <c r="Q39" s="10" t="n">
        <f aca="false">WORKDAY(EDATE(N39,Supuestos!$C$5)-1,1,Festivos)</f>
        <v>46547</v>
      </c>
      <c r="R39" s="10" t="n">
        <f aca="false">WORKDAY(EDATE(Q39,Supuestos!$C$5)-1,1,Festivos)</f>
        <v>46730</v>
      </c>
      <c r="S39" s="10" t="n">
        <f aca="false">WORKDAY(EDATE(R39,Supuestos!$C$5)-1,1,Festivos)</f>
        <v>46913</v>
      </c>
      <c r="T39" s="11"/>
    </row>
    <row r="40" customFormat="false" ht="15" hidden="false" customHeight="true" outlineLevel="0" collapsed="false">
      <c r="A40" s="9" t="n">
        <v>35</v>
      </c>
      <c r="B40" s="15" t="s">
        <v>100</v>
      </c>
      <c r="C40" s="15" t="s">
        <v>101</v>
      </c>
      <c r="D40" s="15" t="s">
        <v>102</v>
      </c>
      <c r="E40" s="15" t="s">
        <v>150</v>
      </c>
      <c r="F40" s="11" t="s">
        <v>81</v>
      </c>
      <c r="G40" s="16" t="n">
        <v>46198</v>
      </c>
      <c r="H40" s="17" t="s">
        <v>141</v>
      </c>
      <c r="I40" s="20" t="n">
        <v>46199</v>
      </c>
      <c r="J40" s="11"/>
      <c r="K40" s="16"/>
      <c r="L40" s="10" t="n">
        <f aca="false">IF(K40&lt;&gt;"",K40,G40)</f>
        <v>46198</v>
      </c>
      <c r="M40" s="10" t="n">
        <f aca="false">EDATE(L40,Supuestos!$C$5)</f>
        <v>46381</v>
      </c>
      <c r="N40" s="16" t="n">
        <v>46365</v>
      </c>
      <c r="O40" s="18" t="n">
        <f aca="false">N40-M40</f>
        <v>-16</v>
      </c>
      <c r="P40" s="9" t="str">
        <f aca="false">IF(M40&lt;Supuestos!$C$4,"Vencido",IF(M40-Supuestos!$C$4&lt;=Supuestos!$C$6,"En ventana","Al día"))</f>
        <v>Al día</v>
      </c>
      <c r="Q40" s="10" t="n">
        <f aca="false">WORKDAY(EDATE(N40,Supuestos!$C$5)-1,1,Festivos)</f>
        <v>46547</v>
      </c>
      <c r="R40" s="10" t="n">
        <f aca="false">WORKDAY(EDATE(Q40,Supuestos!$C$5)-1,1,Festivos)</f>
        <v>46730</v>
      </c>
      <c r="S40" s="10" t="n">
        <f aca="false">WORKDAY(EDATE(R40,Supuestos!$C$5)-1,1,Festivos)</f>
        <v>46913</v>
      </c>
      <c r="T40" s="11"/>
    </row>
    <row r="41" customFormat="false" ht="30" hidden="false" customHeight="true" outlineLevel="0" collapsed="false">
      <c r="A41" s="9" t="n">
        <v>36</v>
      </c>
      <c r="B41" s="15" t="s">
        <v>16</v>
      </c>
      <c r="C41" s="15" t="s">
        <v>151</v>
      </c>
      <c r="D41" s="15" t="s">
        <v>16</v>
      </c>
      <c r="E41" s="15" t="s">
        <v>152</v>
      </c>
      <c r="F41" s="11" t="s">
        <v>71</v>
      </c>
      <c r="G41" s="16" t="n">
        <v>46238</v>
      </c>
      <c r="H41" s="17" t="s">
        <v>141</v>
      </c>
      <c r="I41" s="20" t="n">
        <v>46239</v>
      </c>
      <c r="J41" s="11"/>
      <c r="K41" s="16"/>
      <c r="L41" s="10" t="n">
        <f aca="false">IF(K41&lt;&gt;"",K41,G41)</f>
        <v>46238</v>
      </c>
      <c r="M41" s="10" t="n">
        <f aca="false">EDATE(L41,Supuestos!$C$5)</f>
        <v>46422</v>
      </c>
      <c r="N41" s="16" t="n">
        <v>46406</v>
      </c>
      <c r="O41" s="18" t="n">
        <f aca="false">N41-M41</f>
        <v>-16</v>
      </c>
      <c r="P41" s="9" t="str">
        <f aca="false">IF(M41&lt;Supuestos!$C$4,"Vencido",IF(M41-Supuestos!$C$4&lt;=Supuestos!$C$6,"En ventana","Al día"))</f>
        <v>Al día</v>
      </c>
      <c r="Q41" s="10" t="n">
        <f aca="false">WORKDAY(EDATE(N41,Supuestos!$C$5)-1,1,Festivos)</f>
        <v>46587</v>
      </c>
      <c r="R41" s="10" t="n">
        <f aca="false">WORKDAY(EDATE(Q41,Supuestos!$C$5)-1,1,Festivos)</f>
        <v>46771</v>
      </c>
      <c r="S41" s="10" t="n">
        <f aca="false">WORKDAY(EDATE(R41,Supuestos!$C$5)-1,1,Festivos)</f>
        <v>46953</v>
      </c>
      <c r="T41" s="11" t="s">
        <v>153</v>
      </c>
    </row>
    <row r="42" customFormat="false" ht="30" hidden="false" customHeight="true" outlineLevel="0" collapsed="false">
      <c r="A42" s="9" t="n">
        <v>37</v>
      </c>
      <c r="B42" s="15" t="s">
        <v>16</v>
      </c>
      <c r="C42" s="15" t="s">
        <v>154</v>
      </c>
      <c r="D42" s="15" t="s">
        <v>16</v>
      </c>
      <c r="E42" s="15" t="s">
        <v>155</v>
      </c>
      <c r="F42" s="11" t="s">
        <v>87</v>
      </c>
      <c r="G42" s="16" t="n">
        <v>46217</v>
      </c>
      <c r="H42" s="17" t="s">
        <v>141</v>
      </c>
      <c r="I42" s="17" t="s">
        <v>156</v>
      </c>
      <c r="J42" s="11" t="s">
        <v>157</v>
      </c>
      <c r="K42" s="16"/>
      <c r="L42" s="10" t="n">
        <f aca="false">IF(K42&lt;&gt;"",K42,G42)</f>
        <v>46217</v>
      </c>
      <c r="M42" s="10" t="n">
        <f aca="false">EDATE(L42,Supuestos!$C$5)</f>
        <v>46401</v>
      </c>
      <c r="N42" s="16" t="n">
        <v>46406</v>
      </c>
      <c r="O42" s="18" t="n">
        <f aca="false">N42-M42</f>
        <v>5</v>
      </c>
      <c r="P42" s="9" t="str">
        <f aca="false">IF(M42&lt;Supuestos!$C$4,"Vencido",IF(M42-Supuestos!$C$4&lt;=Supuestos!$C$6,"En ventana","Al día"))</f>
        <v>Al día</v>
      </c>
      <c r="Q42" s="10" t="n">
        <f aca="false">WORKDAY(EDATE(N42,Supuestos!$C$5)-1,1,Festivos)</f>
        <v>46587</v>
      </c>
      <c r="R42" s="10" t="n">
        <f aca="false">WORKDAY(EDATE(Q42,Supuestos!$C$5)-1,1,Festivos)</f>
        <v>46771</v>
      </c>
      <c r="S42" s="10" t="n">
        <f aca="false">WORKDAY(EDATE(R42,Supuestos!$C$5)-1,1,Festivos)</f>
        <v>46953</v>
      </c>
      <c r="T42" s="11"/>
    </row>
    <row r="43" customFormat="false" ht="15" hidden="false" customHeight="true" outlineLevel="0" collapsed="false">
      <c r="A43" s="9" t="n">
        <v>38</v>
      </c>
      <c r="B43" s="15" t="s">
        <v>77</v>
      </c>
      <c r="C43" s="15" t="s">
        <v>158</v>
      </c>
      <c r="D43" s="15" t="s">
        <v>159</v>
      </c>
      <c r="E43" s="15" t="s">
        <v>160</v>
      </c>
      <c r="F43" s="11" t="s">
        <v>87</v>
      </c>
      <c r="G43" s="16" t="n">
        <v>46231</v>
      </c>
      <c r="H43" s="17" t="s">
        <v>141</v>
      </c>
      <c r="I43" s="20" t="n">
        <v>46232</v>
      </c>
      <c r="J43" s="11"/>
      <c r="K43" s="16"/>
      <c r="L43" s="10" t="n">
        <f aca="false">IF(K43&lt;&gt;"",K43,G43)</f>
        <v>46231</v>
      </c>
      <c r="M43" s="10" t="n">
        <f aca="false">EDATE(L43,Supuestos!$C$5)</f>
        <v>46415</v>
      </c>
      <c r="N43" s="16" t="n">
        <v>46420</v>
      </c>
      <c r="O43" s="18" t="n">
        <f aca="false">N43-M43</f>
        <v>5</v>
      </c>
      <c r="P43" s="9" t="str">
        <f aca="false">IF(M43&lt;Supuestos!$C$4,"Vencido",IF(M43-Supuestos!$C$4&lt;=Supuestos!$C$6,"En ventana","Al día"))</f>
        <v>Al día</v>
      </c>
      <c r="Q43" s="10" t="n">
        <f aca="false">WORKDAY(EDATE(N43,Supuestos!$C$5)-1,1,Festivos)</f>
        <v>46601</v>
      </c>
      <c r="R43" s="10" t="n">
        <f aca="false">WORKDAY(EDATE(Q43,Supuestos!$C$5)-1,1,Festivos)</f>
        <v>46785</v>
      </c>
      <c r="S43" s="10" t="n">
        <f aca="false">WORKDAY(EDATE(R43,Supuestos!$C$5)-1,1,Festivos)</f>
        <v>46967</v>
      </c>
      <c r="T43" s="11"/>
    </row>
    <row r="44" customFormat="false" ht="15" hidden="false" customHeight="true" outlineLevel="0" collapsed="false">
      <c r="A44" s="9" t="n">
        <v>39</v>
      </c>
      <c r="B44" s="15" t="s">
        <v>77</v>
      </c>
      <c r="C44" s="15" t="s">
        <v>78</v>
      </c>
      <c r="D44" s="15" t="s">
        <v>79</v>
      </c>
      <c r="E44" s="15" t="s">
        <v>161</v>
      </c>
      <c r="F44" s="11" t="s">
        <v>81</v>
      </c>
      <c r="G44" s="16" t="n">
        <v>46246</v>
      </c>
      <c r="H44" s="17" t="s">
        <v>141</v>
      </c>
      <c r="I44" s="20" t="n">
        <v>46248</v>
      </c>
      <c r="J44" s="11"/>
      <c r="K44" s="16"/>
      <c r="L44" s="10" t="n">
        <f aca="false">IF(K44&lt;&gt;"",K44,G44)</f>
        <v>46246</v>
      </c>
      <c r="M44" s="10" t="n">
        <f aca="false">EDATE(L44,Supuestos!$C$5)</f>
        <v>46430</v>
      </c>
      <c r="N44" s="16" t="n">
        <v>46420</v>
      </c>
      <c r="O44" s="18" t="n">
        <f aca="false">N44-M44</f>
        <v>-10</v>
      </c>
      <c r="P44" s="9" t="str">
        <f aca="false">IF(M44&lt;Supuestos!$C$4,"Vencido",IF(M44-Supuestos!$C$4&lt;=Supuestos!$C$6,"En ventana","Al día"))</f>
        <v>Al día</v>
      </c>
      <c r="Q44" s="10" t="n">
        <f aca="false">WORKDAY(EDATE(N44,Supuestos!$C$5)-1,1,Festivos)</f>
        <v>46601</v>
      </c>
      <c r="R44" s="10" t="n">
        <f aca="false">WORKDAY(EDATE(Q44,Supuestos!$C$5)-1,1,Festivos)</f>
        <v>46785</v>
      </c>
      <c r="S44" s="10" t="n">
        <f aca="false">WORKDAY(EDATE(R44,Supuestos!$C$5)-1,1,Festivos)</f>
        <v>46967</v>
      </c>
      <c r="T44" s="11"/>
    </row>
    <row r="45" customFormat="false" ht="15" hidden="false" customHeight="true" outlineLevel="0" collapsed="false">
      <c r="A45" s="9" t="n">
        <v>40</v>
      </c>
      <c r="B45" s="15" t="s">
        <v>77</v>
      </c>
      <c r="C45" s="15" t="s">
        <v>78</v>
      </c>
      <c r="D45" s="15" t="s">
        <v>79</v>
      </c>
      <c r="E45" s="15" t="s">
        <v>162</v>
      </c>
      <c r="F45" s="11" t="s">
        <v>81</v>
      </c>
      <c r="G45" s="16" t="n">
        <v>46240</v>
      </c>
      <c r="H45" s="17" t="s">
        <v>141</v>
      </c>
      <c r="I45" s="20" t="n">
        <v>46245</v>
      </c>
      <c r="J45" s="11"/>
      <c r="K45" s="16"/>
      <c r="L45" s="10" t="n">
        <f aca="false">IF(K45&lt;&gt;"",K45,G45)</f>
        <v>46240</v>
      </c>
      <c r="M45" s="10" t="n">
        <f aca="false">EDATE(L45,Supuestos!$C$5)</f>
        <v>46424</v>
      </c>
      <c r="N45" s="16" t="n">
        <v>46420</v>
      </c>
      <c r="O45" s="18" t="n">
        <f aca="false">N45-M45</f>
        <v>-4</v>
      </c>
      <c r="P45" s="9" t="str">
        <f aca="false">IF(M45&lt;Supuestos!$C$4,"Vencido",IF(M45-Supuestos!$C$4&lt;=Supuestos!$C$6,"En ventana","Al día"))</f>
        <v>Al día</v>
      </c>
      <c r="Q45" s="10" t="n">
        <f aca="false">WORKDAY(EDATE(N45,Supuestos!$C$5)-1,1,Festivos)</f>
        <v>46601</v>
      </c>
      <c r="R45" s="10" t="n">
        <f aca="false">WORKDAY(EDATE(Q45,Supuestos!$C$5)-1,1,Festivos)</f>
        <v>46785</v>
      </c>
      <c r="S45" s="10" t="n">
        <f aca="false">WORKDAY(EDATE(R45,Supuestos!$C$5)-1,1,Festivos)</f>
        <v>46967</v>
      </c>
      <c r="T45" s="11"/>
    </row>
    <row r="46" customFormat="false" ht="15" hidden="false" customHeight="true" outlineLevel="0" collapsed="false">
      <c r="A46" s="9" t="n">
        <v>41</v>
      </c>
      <c r="B46" s="15" t="s">
        <v>77</v>
      </c>
      <c r="C46" s="15" t="s">
        <v>78</v>
      </c>
      <c r="D46" s="15" t="s">
        <v>79</v>
      </c>
      <c r="E46" s="15" t="s">
        <v>163</v>
      </c>
      <c r="F46" s="11" t="s">
        <v>81</v>
      </c>
      <c r="G46" s="16" t="n">
        <v>46269</v>
      </c>
      <c r="H46" s="17" t="s">
        <v>141</v>
      </c>
      <c r="I46" s="20" t="n">
        <v>46294</v>
      </c>
      <c r="J46" s="11"/>
      <c r="K46" s="16"/>
      <c r="L46" s="10" t="n">
        <f aca="false">IF(K46&lt;&gt;"",K46,G46)</f>
        <v>46269</v>
      </c>
      <c r="M46" s="10" t="n">
        <f aca="false">EDATE(L46,Supuestos!$C$5)</f>
        <v>46450</v>
      </c>
      <c r="N46" s="16" t="n">
        <v>46420</v>
      </c>
      <c r="O46" s="18" t="n">
        <f aca="false">N46-M46</f>
        <v>-30</v>
      </c>
      <c r="P46" s="9" t="str">
        <f aca="false">IF(M46&lt;Supuestos!$C$4,"Vencido",IF(M46-Supuestos!$C$4&lt;=Supuestos!$C$6,"En ventana","Al día"))</f>
        <v>Al día</v>
      </c>
      <c r="Q46" s="10" t="n">
        <f aca="false">WORKDAY(EDATE(N46,Supuestos!$C$5)-1,1,Festivos)</f>
        <v>46601</v>
      </c>
      <c r="R46" s="10" t="n">
        <f aca="false">WORKDAY(EDATE(Q46,Supuestos!$C$5)-1,1,Festivos)</f>
        <v>46785</v>
      </c>
      <c r="S46" s="10" t="n">
        <f aca="false">WORKDAY(EDATE(R46,Supuestos!$C$5)-1,1,Festivos)</f>
        <v>46967</v>
      </c>
      <c r="T46" s="11" t="s">
        <v>164</v>
      </c>
    </row>
    <row r="47" customFormat="false" ht="30" hidden="false" customHeight="true" outlineLevel="0" collapsed="false">
      <c r="A47" s="9" t="n">
        <v>42</v>
      </c>
      <c r="B47" s="15" t="s">
        <v>77</v>
      </c>
      <c r="C47" s="15" t="s">
        <v>78</v>
      </c>
      <c r="D47" s="15" t="s">
        <v>79</v>
      </c>
      <c r="E47" s="15" t="s">
        <v>165</v>
      </c>
      <c r="F47" s="11" t="s">
        <v>71</v>
      </c>
      <c r="G47" s="16" t="n">
        <v>46269</v>
      </c>
      <c r="H47" s="17" t="s">
        <v>141</v>
      </c>
      <c r="I47" s="20" t="n">
        <v>46295</v>
      </c>
      <c r="J47" s="11"/>
      <c r="K47" s="16"/>
      <c r="L47" s="10" t="n">
        <f aca="false">IF(K47&lt;&gt;"",K47,G47)</f>
        <v>46269</v>
      </c>
      <c r="M47" s="10" t="n">
        <f aca="false">EDATE(L47,Supuestos!$C$5)</f>
        <v>46450</v>
      </c>
      <c r="N47" s="16" t="n">
        <v>46421</v>
      </c>
      <c r="O47" s="18" t="n">
        <f aca="false">N47-M47</f>
        <v>-29</v>
      </c>
      <c r="P47" s="9" t="str">
        <f aca="false">IF(M47&lt;Supuestos!$C$4,"Vencido",IF(M47-Supuestos!$C$4&lt;=Supuestos!$C$6,"En ventana","Al día"))</f>
        <v>Al día</v>
      </c>
      <c r="Q47" s="10" t="n">
        <f aca="false">WORKDAY(EDATE(N47,Supuestos!$C$5)-1,1,Festivos)</f>
        <v>46602</v>
      </c>
      <c r="R47" s="10" t="n">
        <f aca="false">WORKDAY(EDATE(Q47,Supuestos!$C$5)-1,1,Festivos)</f>
        <v>46786</v>
      </c>
      <c r="S47" s="10" t="n">
        <f aca="false">WORKDAY(EDATE(R47,Supuestos!$C$5)-1,1,Festivos)</f>
        <v>46968</v>
      </c>
      <c r="T47" s="11" t="s">
        <v>166</v>
      </c>
    </row>
    <row r="48" customFormat="false" ht="15" hidden="false" customHeight="true" outlineLevel="0" collapsed="false">
      <c r="A48" s="9" t="n">
        <v>43</v>
      </c>
      <c r="B48" s="15" t="s">
        <v>100</v>
      </c>
      <c r="C48" s="15" t="s">
        <v>167</v>
      </c>
      <c r="D48" s="15" t="s">
        <v>102</v>
      </c>
      <c r="E48" s="15" t="s">
        <v>168</v>
      </c>
      <c r="F48" s="11" t="s">
        <v>61</v>
      </c>
      <c r="G48" s="16" t="n">
        <v>46265</v>
      </c>
      <c r="H48" s="17" t="s">
        <v>141</v>
      </c>
      <c r="I48" s="20" t="n">
        <v>46266</v>
      </c>
      <c r="J48" s="11"/>
      <c r="K48" s="16"/>
      <c r="L48" s="10" t="n">
        <f aca="false">IF(K48&lt;&gt;"",K48,G48)</f>
        <v>46265</v>
      </c>
      <c r="M48" s="10" t="n">
        <f aca="false">EDATE(L48,Supuestos!$C$5)</f>
        <v>46446</v>
      </c>
      <c r="N48" s="16" t="n">
        <v>46422</v>
      </c>
      <c r="O48" s="18" t="n">
        <f aca="false">N48-M48</f>
        <v>-24</v>
      </c>
      <c r="P48" s="9" t="str">
        <f aca="false">IF(M48&lt;Supuestos!$C$4,"Vencido",IF(M48-Supuestos!$C$4&lt;=Supuestos!$C$6,"En ventana","Al día"))</f>
        <v>Al día</v>
      </c>
      <c r="Q48" s="10" t="n">
        <f aca="false">WORKDAY(EDATE(N48,Supuestos!$C$5)-1,1,Festivos)</f>
        <v>46603</v>
      </c>
      <c r="R48" s="10" t="n">
        <f aca="false">WORKDAY(EDATE(Q48,Supuestos!$C$5)-1,1,Festivos)</f>
        <v>46787</v>
      </c>
      <c r="S48" s="10" t="n">
        <f aca="false">WORKDAY(EDATE(R48,Supuestos!$C$5)-1,1,Festivos)</f>
        <v>46969</v>
      </c>
      <c r="T48" s="11" t="s">
        <v>169</v>
      </c>
    </row>
    <row r="49" customFormat="false" ht="15" hidden="false" customHeight="true" outlineLevel="0" collapsed="false">
      <c r="A49" s="9" t="n">
        <v>44</v>
      </c>
      <c r="B49" s="15" t="s">
        <v>77</v>
      </c>
      <c r="C49" s="15" t="s">
        <v>78</v>
      </c>
      <c r="D49" s="15" t="s">
        <v>79</v>
      </c>
      <c r="E49" s="15" t="s">
        <v>170</v>
      </c>
      <c r="F49" s="11" t="s">
        <v>87</v>
      </c>
      <c r="G49" s="16" t="n">
        <v>46276</v>
      </c>
      <c r="H49" s="17" t="s">
        <v>141</v>
      </c>
      <c r="I49" s="20" t="n">
        <v>46298</v>
      </c>
      <c r="J49" s="11"/>
      <c r="K49" s="16"/>
      <c r="L49" s="10" t="n">
        <f aca="false">IF(K49&lt;&gt;"",K49,G49)</f>
        <v>46276</v>
      </c>
      <c r="M49" s="10" t="n">
        <f aca="false">EDATE(L49,Supuestos!$C$5)</f>
        <v>46457</v>
      </c>
      <c r="N49" s="16" t="n">
        <v>46458</v>
      </c>
      <c r="O49" s="18" t="n">
        <f aca="false">N49-M49</f>
        <v>1</v>
      </c>
      <c r="P49" s="9" t="str">
        <f aca="false">IF(M49&lt;Supuestos!$C$4,"Vencido",IF(M49-Supuestos!$C$4&lt;=Supuestos!$C$6,"En ventana","Al día"))</f>
        <v>Al día</v>
      </c>
      <c r="Q49" s="10" t="n">
        <f aca="false">WORKDAY(EDATE(N49,Supuestos!$C$5)-1,1,Festivos)</f>
        <v>46643</v>
      </c>
      <c r="R49" s="10" t="n">
        <f aca="false">WORKDAY(EDATE(Q49,Supuestos!$C$5)-1,1,Festivos)</f>
        <v>46825</v>
      </c>
      <c r="S49" s="10" t="n">
        <f aca="false">WORKDAY(EDATE(R49,Supuestos!$C$5)-1,1,Festivos)</f>
        <v>47009</v>
      </c>
      <c r="T49" s="11" t="s">
        <v>171</v>
      </c>
    </row>
    <row r="50" customFormat="false" ht="15" hidden="false" customHeight="true" outlineLevel="0" collapsed="false">
      <c r="A50" s="9" t="n">
        <v>45</v>
      </c>
      <c r="B50" s="15" t="s">
        <v>77</v>
      </c>
      <c r="C50" s="15" t="s">
        <v>78</v>
      </c>
      <c r="D50" s="15" t="s">
        <v>79</v>
      </c>
      <c r="E50" s="15" t="s">
        <v>172</v>
      </c>
      <c r="F50" s="11" t="s">
        <v>81</v>
      </c>
      <c r="G50" s="16" t="n">
        <v>46272</v>
      </c>
      <c r="H50" s="17" t="s">
        <v>141</v>
      </c>
      <c r="I50" s="20" t="n">
        <v>46297</v>
      </c>
      <c r="J50" s="11"/>
      <c r="K50" s="16"/>
      <c r="L50" s="10" t="n">
        <f aca="false">IF(K50&lt;&gt;"",K50,G50)</f>
        <v>46272</v>
      </c>
      <c r="M50" s="10" t="n">
        <f aca="false">EDATE(L50,Supuestos!$C$5)</f>
        <v>46453</v>
      </c>
      <c r="N50" s="16" t="n">
        <v>46458</v>
      </c>
      <c r="O50" s="18" t="n">
        <f aca="false">N50-M50</f>
        <v>5</v>
      </c>
      <c r="P50" s="9" t="str">
        <f aca="false">IF(M50&lt;Supuestos!$C$4,"Vencido",IF(M50-Supuestos!$C$4&lt;=Supuestos!$C$6,"En ventana","Al día"))</f>
        <v>Al día</v>
      </c>
      <c r="Q50" s="10" t="n">
        <f aca="false">WORKDAY(EDATE(N50,Supuestos!$C$5)-1,1,Festivos)</f>
        <v>46643</v>
      </c>
      <c r="R50" s="10" t="n">
        <f aca="false">WORKDAY(EDATE(Q50,Supuestos!$C$5)-1,1,Festivos)</f>
        <v>46825</v>
      </c>
      <c r="S50" s="10" t="n">
        <f aca="false">WORKDAY(EDATE(R50,Supuestos!$C$5)-1,1,Festivos)</f>
        <v>47009</v>
      </c>
      <c r="T50" s="11" t="s">
        <v>173</v>
      </c>
    </row>
    <row r="51" customFormat="false" ht="15" hidden="false" customHeight="true" outlineLevel="0" collapsed="false">
      <c r="A51" s="9" t="n">
        <v>46</v>
      </c>
      <c r="B51" s="15" t="s">
        <v>77</v>
      </c>
      <c r="C51" s="15" t="s">
        <v>78</v>
      </c>
      <c r="D51" s="15" t="s">
        <v>79</v>
      </c>
      <c r="E51" s="15" t="s">
        <v>174</v>
      </c>
      <c r="F51" s="11" t="s">
        <v>87</v>
      </c>
      <c r="G51" s="16" t="n">
        <v>46275</v>
      </c>
      <c r="H51" s="17" t="s">
        <v>141</v>
      </c>
      <c r="I51" s="20" t="n">
        <v>46296</v>
      </c>
      <c r="J51" s="11"/>
      <c r="K51" s="16"/>
      <c r="L51" s="10" t="n">
        <f aca="false">IF(K51&lt;&gt;"",K51,G51)</f>
        <v>46275</v>
      </c>
      <c r="M51" s="10" t="n">
        <f aca="false">EDATE(L51,Supuestos!$C$5)</f>
        <v>46456</v>
      </c>
      <c r="N51" s="16" t="n">
        <v>46458</v>
      </c>
      <c r="O51" s="18" t="n">
        <f aca="false">N51-M51</f>
        <v>2</v>
      </c>
      <c r="P51" s="9" t="str">
        <f aca="false">IF(M51&lt;Supuestos!$C$4,"Vencido",IF(M51-Supuestos!$C$4&lt;=Supuestos!$C$6,"En ventana","Al día"))</f>
        <v>Al día</v>
      </c>
      <c r="Q51" s="10" t="n">
        <f aca="false">WORKDAY(EDATE(N51,Supuestos!$C$5)-1,1,Festivos)</f>
        <v>46643</v>
      </c>
      <c r="R51" s="10" t="n">
        <f aca="false">WORKDAY(EDATE(Q51,Supuestos!$C$5)-1,1,Festivos)</f>
        <v>46825</v>
      </c>
      <c r="S51" s="10" t="n">
        <f aca="false">WORKDAY(EDATE(R51,Supuestos!$C$5)-1,1,Festivos)</f>
        <v>47009</v>
      </c>
      <c r="T51" s="11" t="s">
        <v>175</v>
      </c>
    </row>
    <row r="52" customFormat="false" ht="15" hidden="false" customHeight="true" outlineLevel="0" collapsed="false">
      <c r="A52" s="9" t="n">
        <v>47</v>
      </c>
      <c r="B52" s="15" t="s">
        <v>77</v>
      </c>
      <c r="C52" s="15" t="s">
        <v>78</v>
      </c>
      <c r="D52" s="15" t="s">
        <v>79</v>
      </c>
      <c r="E52" s="15" t="s">
        <v>176</v>
      </c>
      <c r="F52" s="11" t="s">
        <v>61</v>
      </c>
      <c r="G52" s="16" t="n">
        <v>46283</v>
      </c>
      <c r="H52" s="17" t="s">
        <v>141</v>
      </c>
      <c r="I52" s="20" t="n">
        <v>46303</v>
      </c>
      <c r="J52" s="11"/>
      <c r="K52" s="16"/>
      <c r="L52" s="10" t="n">
        <f aca="false">IF(K52&lt;&gt;"",K52,G52)</f>
        <v>46283</v>
      </c>
      <c r="M52" s="10" t="n">
        <f aca="false">EDATE(L52,Supuestos!$C$5)</f>
        <v>46464</v>
      </c>
      <c r="N52" s="16" t="n">
        <v>46458</v>
      </c>
      <c r="O52" s="18" t="n">
        <f aca="false">N52-M52</f>
        <v>-6</v>
      </c>
      <c r="P52" s="9" t="str">
        <f aca="false">IF(M52&lt;Supuestos!$C$4,"Vencido",IF(M52-Supuestos!$C$4&lt;=Supuestos!$C$6,"En ventana","Al día"))</f>
        <v>Al día</v>
      </c>
      <c r="Q52" s="10" t="n">
        <f aca="false">WORKDAY(EDATE(N52,Supuestos!$C$5)-1,1,Festivos)</f>
        <v>46643</v>
      </c>
      <c r="R52" s="10" t="n">
        <f aca="false">WORKDAY(EDATE(Q52,Supuestos!$C$5)-1,1,Festivos)</f>
        <v>46825</v>
      </c>
      <c r="S52" s="10" t="n">
        <f aca="false">WORKDAY(EDATE(R52,Supuestos!$C$5)-1,1,Festivos)</f>
        <v>47009</v>
      </c>
      <c r="T52" s="11" t="s">
        <v>177</v>
      </c>
    </row>
    <row r="53" customFormat="false" ht="15" hidden="false" customHeight="true" outlineLevel="0" collapsed="false">
      <c r="A53" s="9" t="n">
        <v>48</v>
      </c>
      <c r="B53" s="15" t="s">
        <v>100</v>
      </c>
      <c r="C53" s="15" t="s">
        <v>178</v>
      </c>
      <c r="D53" s="15" t="s">
        <v>102</v>
      </c>
      <c r="E53" s="15" t="s">
        <v>179</v>
      </c>
      <c r="F53" s="11" t="s">
        <v>87</v>
      </c>
      <c r="G53" s="16" t="n">
        <v>46279</v>
      </c>
      <c r="H53" s="17" t="s">
        <v>141</v>
      </c>
      <c r="I53" s="20" t="n">
        <v>46280</v>
      </c>
      <c r="J53" s="11"/>
      <c r="K53" s="16"/>
      <c r="L53" s="10" t="n">
        <f aca="false">IF(K53&lt;&gt;"",K53,G53)</f>
        <v>46279</v>
      </c>
      <c r="M53" s="10" t="n">
        <f aca="false">EDATE(L53,Supuestos!$C$5)</f>
        <v>46460</v>
      </c>
      <c r="N53" s="16" t="n">
        <v>46461</v>
      </c>
      <c r="O53" s="18" t="n">
        <f aca="false">N53-M53</f>
        <v>1</v>
      </c>
      <c r="P53" s="9" t="str">
        <f aca="false">IF(M53&lt;Supuestos!$C$4,"Vencido",IF(M53-Supuestos!$C$4&lt;=Supuestos!$C$6,"En ventana","Al día"))</f>
        <v>Al día</v>
      </c>
      <c r="Q53" s="10" t="n">
        <f aca="false">WORKDAY(EDATE(N53,Supuestos!$C$5)-1,1,Festivos)</f>
        <v>46645</v>
      </c>
      <c r="R53" s="10" t="n">
        <f aca="false">WORKDAY(EDATE(Q53,Supuestos!$C$5)-1,1,Festivos)</f>
        <v>46827</v>
      </c>
      <c r="S53" s="10" t="n">
        <f aca="false">WORKDAY(EDATE(R53,Supuestos!$C$5)-1,1,Festivos)</f>
        <v>47011</v>
      </c>
      <c r="T53" s="11"/>
    </row>
  </sheetData>
  <autoFilter ref="A5:T53"/>
  <conditionalFormatting sqref="P6:P53">
    <cfRule type="cellIs" priority="2" operator="equal" aboveAverage="0" equalAverage="0" bottom="0" percent="0" rank="0" text="" dxfId="11">
      <formula>"Vencido"</formula>
    </cfRule>
    <cfRule type="cellIs" priority="3" operator="equal" aboveAverage="0" equalAverage="0" bottom="0" percent="0" rank="0" text="" dxfId="12">
      <formula>"En ventana"</formula>
    </cfRule>
    <cfRule type="cellIs" priority="4" operator="equal" aboveAverage="0" equalAverage="0" bottom="0" percent="0" rank="0" text="" dxfId="13">
      <formula>"Al día"</formula>
    </cfRule>
  </conditionalFormatting>
  <conditionalFormatting sqref="O6:O53">
    <cfRule type="cellIs" priority="5" operator="greaterThan" aboveAverage="0" equalAverage="0" bottom="0" percent="0" rank="0" text="" dxfId="14">
      <formula>Supuestos!$C$7</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7"/>
    <col collapsed="false" customWidth="true" hidden="false" outlineLevel="0" max="3" min="3" style="0" width="20"/>
    <col collapsed="false" customWidth="true" hidden="false" outlineLevel="0" max="4" min="4" style="0" width="26"/>
    <col collapsed="false" customWidth="true" hidden="false" outlineLevel="0" max="5" min="5" style="0" width="60"/>
    <col collapsed="false" customWidth="true" hidden="false" outlineLevel="0" max="6" min="6" style="0" width="10"/>
  </cols>
  <sheetData>
    <row r="1" customFormat="false" ht="19.7" hidden="false" customHeight="false" outlineLevel="0" collapsed="false">
      <c r="A1" s="1" t="s">
        <v>180</v>
      </c>
    </row>
    <row r="2" customFormat="false" ht="15" hidden="false" customHeight="false" outlineLevel="0" collapsed="false">
      <c r="A2" s="2" t="s">
        <v>181</v>
      </c>
    </row>
    <row r="4" customFormat="false" ht="15" hidden="false" customHeight="false" outlineLevel="0" collapsed="false">
      <c r="A4" s="8" t="s">
        <v>182</v>
      </c>
      <c r="B4" s="8" t="s">
        <v>183</v>
      </c>
      <c r="C4" s="8" t="s">
        <v>184</v>
      </c>
      <c r="D4" s="8" t="s">
        <v>185</v>
      </c>
      <c r="E4" s="8" t="s">
        <v>13</v>
      </c>
      <c r="F4" s="8" t="s">
        <v>186</v>
      </c>
    </row>
    <row r="5" customFormat="false" ht="15" hidden="false" customHeight="false" outlineLevel="0" collapsed="false">
      <c r="A5" s="10" t="n">
        <v>46314</v>
      </c>
      <c r="B5" s="9" t="s">
        <v>187</v>
      </c>
      <c r="C5" s="9" t="s">
        <v>16</v>
      </c>
      <c r="D5" s="15" t="s">
        <v>59</v>
      </c>
      <c r="E5" s="11" t="s">
        <v>60</v>
      </c>
      <c r="F5" s="9" t="n">
        <v>1</v>
      </c>
    </row>
    <row r="6" customFormat="false" ht="15" hidden="false" customHeight="false" outlineLevel="0" collapsed="false">
      <c r="A6" s="10" t="n">
        <v>46314</v>
      </c>
      <c r="B6" s="9" t="s">
        <v>187</v>
      </c>
      <c r="C6" s="9" t="s">
        <v>16</v>
      </c>
      <c r="D6" s="15" t="s">
        <v>65</v>
      </c>
      <c r="E6" s="11" t="s">
        <v>66</v>
      </c>
      <c r="F6" s="9" t="n">
        <v>1</v>
      </c>
    </row>
    <row r="7" customFormat="false" ht="15" hidden="false" customHeight="false" outlineLevel="0" collapsed="false">
      <c r="A7" s="10" t="n">
        <v>46314</v>
      </c>
      <c r="B7" s="9" t="s">
        <v>187</v>
      </c>
      <c r="C7" s="9" t="s">
        <v>16</v>
      </c>
      <c r="D7" s="15" t="s">
        <v>69</v>
      </c>
      <c r="E7" s="11" t="s">
        <v>188</v>
      </c>
      <c r="F7" s="9" t="n">
        <v>2</v>
      </c>
    </row>
    <row r="8" customFormat="false" ht="15" hidden="false" customHeight="false" outlineLevel="0" collapsed="false">
      <c r="A8" s="10" t="n">
        <v>46314</v>
      </c>
      <c r="B8" s="9" t="s">
        <v>187</v>
      </c>
      <c r="C8" s="9" t="s">
        <v>21</v>
      </c>
      <c r="D8" s="15" t="s">
        <v>78</v>
      </c>
      <c r="E8" s="11" t="s">
        <v>189</v>
      </c>
      <c r="F8" s="9" t="n">
        <v>4</v>
      </c>
    </row>
    <row r="9" customFormat="false" ht="15" hidden="false" customHeight="false" outlineLevel="0" collapsed="false">
      <c r="A9" s="10" t="n">
        <v>46315</v>
      </c>
      <c r="B9" s="9" t="s">
        <v>190</v>
      </c>
      <c r="C9" s="9" t="s">
        <v>16</v>
      </c>
      <c r="D9" s="15" t="s">
        <v>69</v>
      </c>
      <c r="E9" s="11" t="s">
        <v>191</v>
      </c>
      <c r="F9" s="9" t="n">
        <v>4</v>
      </c>
    </row>
    <row r="10" customFormat="false" ht="15" hidden="false" customHeight="false" outlineLevel="0" collapsed="false">
      <c r="A10" s="10" t="n">
        <v>46315</v>
      </c>
      <c r="B10" s="9" t="s">
        <v>190</v>
      </c>
      <c r="C10" s="9" t="s">
        <v>21</v>
      </c>
      <c r="D10" s="15" t="s">
        <v>101</v>
      </c>
      <c r="E10" s="11" t="s">
        <v>103</v>
      </c>
      <c r="F10" s="9" t="n">
        <v>1</v>
      </c>
    </row>
    <row r="11" customFormat="false" ht="15" hidden="false" customHeight="false" outlineLevel="0" collapsed="false">
      <c r="A11" s="10" t="n">
        <v>46316</v>
      </c>
      <c r="B11" s="9" t="s">
        <v>192</v>
      </c>
      <c r="C11" s="9" t="s">
        <v>16</v>
      </c>
      <c r="D11" s="15" t="s">
        <v>69</v>
      </c>
      <c r="E11" s="11" t="s">
        <v>193</v>
      </c>
      <c r="F11" s="9" t="n">
        <v>4</v>
      </c>
    </row>
    <row r="12" customFormat="false" ht="15" hidden="false" customHeight="false" outlineLevel="0" collapsed="false">
      <c r="A12" s="10" t="n">
        <v>46317</v>
      </c>
      <c r="B12" s="9" t="s">
        <v>194</v>
      </c>
      <c r="C12" s="9" t="s">
        <v>16</v>
      </c>
      <c r="D12" s="15" t="s">
        <v>69</v>
      </c>
      <c r="E12" s="11" t="s">
        <v>195</v>
      </c>
      <c r="F12" s="9" t="n">
        <v>4</v>
      </c>
    </row>
    <row r="13" customFormat="false" ht="15" hidden="false" customHeight="false" outlineLevel="0" collapsed="false">
      <c r="A13" s="10" t="n">
        <v>46318</v>
      </c>
      <c r="B13" s="9" t="s">
        <v>196</v>
      </c>
      <c r="C13" s="9" t="s">
        <v>16</v>
      </c>
      <c r="D13" s="15" t="s">
        <v>69</v>
      </c>
      <c r="E13" s="11" t="s">
        <v>197</v>
      </c>
      <c r="F13" s="9" t="n">
        <v>4</v>
      </c>
    </row>
    <row r="14" customFormat="false" ht="15" hidden="false" customHeight="false" outlineLevel="0" collapsed="false">
      <c r="A14" s="10" t="n">
        <v>46321</v>
      </c>
      <c r="B14" s="9" t="s">
        <v>187</v>
      </c>
      <c r="C14" s="9" t="s">
        <v>16</v>
      </c>
      <c r="D14" s="15" t="s">
        <v>69</v>
      </c>
      <c r="E14" s="11" t="s">
        <v>198</v>
      </c>
      <c r="F14" s="9" t="n">
        <v>4</v>
      </c>
    </row>
    <row r="15" customFormat="false" ht="15" hidden="false" customHeight="false" outlineLevel="0" collapsed="false">
      <c r="A15" s="10" t="n">
        <v>46363</v>
      </c>
      <c r="B15" s="9" t="s">
        <v>187</v>
      </c>
      <c r="C15" s="9" t="s">
        <v>21</v>
      </c>
      <c r="D15" s="15" t="s">
        <v>78</v>
      </c>
      <c r="E15" s="11" t="s">
        <v>199</v>
      </c>
      <c r="F15" s="9" t="n">
        <v>4</v>
      </c>
    </row>
    <row r="16" customFormat="false" ht="15" hidden="false" customHeight="false" outlineLevel="0" collapsed="false">
      <c r="A16" s="10" t="n">
        <v>46365</v>
      </c>
      <c r="B16" s="9" t="s">
        <v>192</v>
      </c>
      <c r="C16" s="9" t="s">
        <v>21</v>
      </c>
      <c r="D16" s="15" t="s">
        <v>101</v>
      </c>
      <c r="E16" s="11" t="s">
        <v>200</v>
      </c>
      <c r="F16" s="9" t="n">
        <v>2</v>
      </c>
    </row>
    <row r="17" customFormat="false" ht="15" hidden="false" customHeight="false" outlineLevel="0" collapsed="false">
      <c r="A17" s="10" t="n">
        <v>46406</v>
      </c>
      <c r="B17" s="9" t="s">
        <v>190</v>
      </c>
      <c r="C17" s="9" t="s">
        <v>16</v>
      </c>
      <c r="D17" s="15" t="s">
        <v>151</v>
      </c>
      <c r="E17" s="11" t="s">
        <v>152</v>
      </c>
      <c r="F17" s="9" t="n">
        <v>1</v>
      </c>
    </row>
    <row r="18" customFormat="false" ht="15" hidden="false" customHeight="false" outlineLevel="0" collapsed="false">
      <c r="A18" s="10" t="n">
        <v>46406</v>
      </c>
      <c r="B18" s="9" t="s">
        <v>190</v>
      </c>
      <c r="C18" s="9" t="s">
        <v>16</v>
      </c>
      <c r="D18" s="15" t="s">
        <v>154</v>
      </c>
      <c r="E18" s="11" t="s">
        <v>155</v>
      </c>
      <c r="F18" s="9" t="n">
        <v>1</v>
      </c>
    </row>
    <row r="19" customFormat="false" ht="15" hidden="false" customHeight="false" outlineLevel="0" collapsed="false">
      <c r="A19" s="10" t="n">
        <v>46420</v>
      </c>
      <c r="B19" s="9" t="s">
        <v>190</v>
      </c>
      <c r="C19" s="9" t="s">
        <v>21</v>
      </c>
      <c r="D19" s="15" t="s">
        <v>158</v>
      </c>
      <c r="E19" s="11" t="s">
        <v>160</v>
      </c>
      <c r="F19" s="9" t="n">
        <v>1</v>
      </c>
    </row>
    <row r="20" customFormat="false" ht="15" hidden="false" customHeight="false" outlineLevel="0" collapsed="false">
      <c r="A20" s="10" t="n">
        <v>46420</v>
      </c>
      <c r="B20" s="9" t="s">
        <v>190</v>
      </c>
      <c r="C20" s="9" t="s">
        <v>21</v>
      </c>
      <c r="D20" s="15" t="s">
        <v>78</v>
      </c>
      <c r="E20" s="11" t="s">
        <v>201</v>
      </c>
      <c r="F20" s="9" t="n">
        <v>3</v>
      </c>
    </row>
    <row r="21" customFormat="false" ht="15" hidden="false" customHeight="false" outlineLevel="0" collapsed="false">
      <c r="A21" s="10" t="n">
        <v>46421</v>
      </c>
      <c r="B21" s="9" t="s">
        <v>192</v>
      </c>
      <c r="C21" s="9" t="s">
        <v>21</v>
      </c>
      <c r="D21" s="15" t="s">
        <v>78</v>
      </c>
      <c r="E21" s="11" t="s">
        <v>165</v>
      </c>
      <c r="F21" s="9" t="n">
        <v>1</v>
      </c>
    </row>
    <row r="22" customFormat="false" ht="15" hidden="false" customHeight="false" outlineLevel="0" collapsed="false">
      <c r="A22" s="10" t="n">
        <v>46422</v>
      </c>
      <c r="B22" s="9" t="s">
        <v>194</v>
      </c>
      <c r="C22" s="9" t="s">
        <v>21</v>
      </c>
      <c r="D22" s="15" t="s">
        <v>167</v>
      </c>
      <c r="E22" s="11" t="s">
        <v>168</v>
      </c>
      <c r="F22" s="9" t="n">
        <v>1</v>
      </c>
    </row>
    <row r="23" customFormat="false" ht="15" hidden="false" customHeight="false" outlineLevel="0" collapsed="false">
      <c r="A23" s="10" t="n">
        <v>46458</v>
      </c>
      <c r="B23" s="9" t="s">
        <v>196</v>
      </c>
      <c r="C23" s="9" t="s">
        <v>21</v>
      </c>
      <c r="D23" s="15" t="s">
        <v>78</v>
      </c>
      <c r="E23" s="11" t="s">
        <v>202</v>
      </c>
      <c r="F23" s="9" t="n">
        <v>4</v>
      </c>
    </row>
    <row r="24" customFormat="false" ht="15" hidden="false" customHeight="false" outlineLevel="0" collapsed="false">
      <c r="A24" s="10" t="n">
        <v>46461</v>
      </c>
      <c r="B24" s="9" t="s">
        <v>187</v>
      </c>
      <c r="C24" s="9" t="s">
        <v>21</v>
      </c>
      <c r="D24" s="15" t="s">
        <v>178</v>
      </c>
      <c r="E24" s="11" t="s">
        <v>179</v>
      </c>
      <c r="F24" s="9" t="n">
        <v>1</v>
      </c>
    </row>
  </sheetData>
  <conditionalFormatting sqref="A5:F24">
    <cfRule type="expression" priority="2" aboveAverage="0" equalAverage="0" bottom="0" percent="0" rank="0" text="" dxfId="15">
      <formula>$C5="Costa"</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6" min="2" style="0" width="8"/>
  </cols>
  <sheetData>
    <row r="1" customFormat="false" ht="19.7" hidden="false" customHeight="false" outlineLevel="0" collapsed="false">
      <c r="A1" s="1" t="s">
        <v>203</v>
      </c>
    </row>
    <row r="2" customFormat="false" ht="15" hidden="false" customHeight="false" outlineLevel="0" collapsed="false">
      <c r="A2" s="2" t="s">
        <v>204</v>
      </c>
    </row>
    <row r="4" customFormat="false" ht="15" hidden="false" customHeight="false" outlineLevel="0" collapsed="false">
      <c r="A4" s="6" t="s">
        <v>205</v>
      </c>
      <c r="B4" s="7"/>
      <c r="C4" s="7"/>
      <c r="D4" s="7"/>
      <c r="E4" s="7"/>
      <c r="F4" s="7"/>
      <c r="G4" s="7"/>
      <c r="H4" s="7"/>
      <c r="I4" s="7"/>
      <c r="J4" s="7"/>
      <c r="K4" s="7"/>
      <c r="L4" s="7"/>
      <c r="M4" s="7"/>
      <c r="N4" s="7"/>
      <c r="O4" s="7"/>
      <c r="P4" s="7"/>
      <c r="Q4" s="7"/>
      <c r="R4" s="7"/>
      <c r="S4" s="7"/>
      <c r="T4" s="7"/>
      <c r="U4" s="7"/>
      <c r="V4" s="7"/>
      <c r="W4" s="7"/>
      <c r="X4" s="7"/>
      <c r="Y4" s="7"/>
      <c r="Z4" s="7"/>
    </row>
    <row r="5" customFormat="false" ht="15" hidden="false" customHeight="false" outlineLevel="0" collapsed="false">
      <c r="A5" s="21" t="s">
        <v>206</v>
      </c>
      <c r="B5" s="22" t="n">
        <v>46296</v>
      </c>
      <c r="C5" s="22" t="n">
        <f aca="false">EDATE(B5,1)</f>
        <v>46327</v>
      </c>
      <c r="D5" s="22" t="n">
        <f aca="false">EDATE(C5,1)</f>
        <v>46357</v>
      </c>
      <c r="E5" s="22" t="n">
        <f aca="false">EDATE(D5,1)</f>
        <v>46388</v>
      </c>
      <c r="F5" s="22" t="n">
        <f aca="false">EDATE(E5,1)</f>
        <v>46419</v>
      </c>
      <c r="G5" s="22" t="n">
        <f aca="false">EDATE(F5,1)</f>
        <v>46447</v>
      </c>
      <c r="H5" s="22" t="n">
        <f aca="false">EDATE(G5,1)</f>
        <v>46478</v>
      </c>
      <c r="I5" s="22" t="n">
        <f aca="false">EDATE(H5,1)</f>
        <v>46508</v>
      </c>
      <c r="J5" s="22" t="n">
        <f aca="false">EDATE(I5,1)</f>
        <v>46539</v>
      </c>
      <c r="K5" s="22" t="n">
        <f aca="false">EDATE(J5,1)</f>
        <v>46569</v>
      </c>
      <c r="L5" s="22" t="n">
        <f aca="false">EDATE(K5,1)</f>
        <v>46600</v>
      </c>
      <c r="M5" s="22" t="n">
        <f aca="false">EDATE(L5,1)</f>
        <v>46631</v>
      </c>
      <c r="N5" s="22" t="n">
        <f aca="false">EDATE(M5,1)</f>
        <v>46661</v>
      </c>
      <c r="O5" s="22" t="n">
        <f aca="false">EDATE(N5,1)</f>
        <v>46692</v>
      </c>
      <c r="P5" s="22" t="n">
        <f aca="false">EDATE(O5,1)</f>
        <v>46722</v>
      </c>
      <c r="Q5" s="22" t="n">
        <f aca="false">EDATE(P5,1)</f>
        <v>46753</v>
      </c>
      <c r="R5" s="22" t="n">
        <f aca="false">EDATE(Q5,1)</f>
        <v>46784</v>
      </c>
      <c r="S5" s="22" t="n">
        <f aca="false">EDATE(R5,1)</f>
        <v>46813</v>
      </c>
      <c r="T5" s="22" t="n">
        <f aca="false">EDATE(S5,1)</f>
        <v>46844</v>
      </c>
      <c r="U5" s="22" t="n">
        <f aca="false">EDATE(T5,1)</f>
        <v>46874</v>
      </c>
      <c r="V5" s="22" t="n">
        <f aca="false">EDATE(U5,1)</f>
        <v>46905</v>
      </c>
      <c r="W5" s="22" t="n">
        <f aca="false">EDATE(V5,1)</f>
        <v>46935</v>
      </c>
      <c r="X5" s="22" t="n">
        <f aca="false">EDATE(W5,1)</f>
        <v>46966</v>
      </c>
      <c r="Y5" s="22" t="n">
        <f aca="false">EDATE(X5,1)</f>
        <v>46997</v>
      </c>
      <c r="Z5" s="23" t="s">
        <v>207</v>
      </c>
    </row>
    <row r="6" customFormat="false" ht="15" hidden="false" customHeight="false" outlineLevel="0" collapsed="false">
      <c r="A6" s="24" t="s">
        <v>16</v>
      </c>
      <c r="B6" s="25" t="n">
        <f aca="false">COUNTIFS(Cronograma!$B$6:$B$53,$A6,Cronograma!$N$6:$N$53,"&gt;="&amp;B$5,Cronograma!$N$6:$N$53,"&lt;"&amp;EDATE(B$5,1))+COUNTIFS(Cronograma!$B$6:$B$53,$A6,Cronograma!$Q$6:$Q$53,"&gt;="&amp;B$5,Cronograma!$Q$6:$Q$53,"&lt;"&amp;EDATE(B$5,1))+COUNTIFS(Cronograma!$B$6:$B$53,$A6,Cronograma!$R$6:$R$53,"&gt;="&amp;B$5,Cronograma!$R$6:$R$53,"&lt;"&amp;EDATE(B$5,1))+COUNTIFS(Cronograma!$B$6:$B$53,$A6,Cronograma!$S$6:$S$53,"&gt;="&amp;B$5,Cronograma!$S$6:$S$53,"&lt;"&amp;EDATE(B$5,1))</f>
        <v>24</v>
      </c>
      <c r="C6" s="25" t="n">
        <f aca="false">COUNTIFS(Cronograma!$B$6:$B$53,$A6,Cronograma!$N$6:$N$53,"&gt;="&amp;C$5,Cronograma!$N$6:$N$53,"&lt;"&amp;EDATE(C$5,1))+COUNTIFS(Cronograma!$B$6:$B$53,$A6,Cronograma!$Q$6:$Q$53,"&gt;="&amp;C$5,Cronograma!$Q$6:$Q$53,"&lt;"&amp;EDATE(C$5,1))+COUNTIFS(Cronograma!$B$6:$B$53,$A6,Cronograma!$R$6:$R$53,"&gt;="&amp;C$5,Cronograma!$R$6:$R$53,"&lt;"&amp;EDATE(C$5,1))+COUNTIFS(Cronograma!$B$6:$B$53,$A6,Cronograma!$S$6:$S$53,"&gt;="&amp;C$5,Cronograma!$S$6:$S$53,"&lt;"&amp;EDATE(C$5,1))</f>
        <v>0</v>
      </c>
      <c r="D6" s="25" t="n">
        <f aca="false">COUNTIFS(Cronograma!$B$6:$B$53,$A6,Cronograma!$N$6:$N$53,"&gt;="&amp;D$5,Cronograma!$N$6:$N$53,"&lt;"&amp;EDATE(D$5,1))+COUNTIFS(Cronograma!$B$6:$B$53,$A6,Cronograma!$Q$6:$Q$53,"&gt;="&amp;D$5,Cronograma!$Q$6:$Q$53,"&lt;"&amp;EDATE(D$5,1))+COUNTIFS(Cronograma!$B$6:$B$53,$A6,Cronograma!$R$6:$R$53,"&gt;="&amp;D$5,Cronograma!$R$6:$R$53,"&lt;"&amp;EDATE(D$5,1))+COUNTIFS(Cronograma!$B$6:$B$53,$A6,Cronograma!$S$6:$S$53,"&gt;="&amp;D$5,Cronograma!$S$6:$S$53,"&lt;"&amp;EDATE(D$5,1))</f>
        <v>0</v>
      </c>
      <c r="E6" s="25" t="n">
        <f aca="false">COUNTIFS(Cronograma!$B$6:$B$53,$A6,Cronograma!$N$6:$N$53,"&gt;="&amp;E$5,Cronograma!$N$6:$N$53,"&lt;"&amp;EDATE(E$5,1))+COUNTIFS(Cronograma!$B$6:$B$53,$A6,Cronograma!$Q$6:$Q$53,"&gt;="&amp;E$5,Cronograma!$Q$6:$Q$53,"&lt;"&amp;EDATE(E$5,1))+COUNTIFS(Cronograma!$B$6:$B$53,$A6,Cronograma!$R$6:$R$53,"&gt;="&amp;E$5,Cronograma!$R$6:$R$53,"&lt;"&amp;EDATE(E$5,1))+COUNTIFS(Cronograma!$B$6:$B$53,$A6,Cronograma!$S$6:$S$53,"&gt;="&amp;E$5,Cronograma!$S$6:$S$53,"&lt;"&amp;EDATE(E$5,1))</f>
        <v>2</v>
      </c>
      <c r="F6" s="25" t="n">
        <f aca="false">COUNTIFS(Cronograma!$B$6:$B$53,$A6,Cronograma!$N$6:$N$53,"&gt;="&amp;F$5,Cronograma!$N$6:$N$53,"&lt;"&amp;EDATE(F$5,1))+COUNTIFS(Cronograma!$B$6:$B$53,$A6,Cronograma!$Q$6:$Q$53,"&gt;="&amp;F$5,Cronograma!$Q$6:$Q$53,"&lt;"&amp;EDATE(F$5,1))+COUNTIFS(Cronograma!$B$6:$B$53,$A6,Cronograma!$R$6:$R$53,"&gt;="&amp;F$5,Cronograma!$R$6:$R$53,"&lt;"&amp;EDATE(F$5,1))+COUNTIFS(Cronograma!$B$6:$B$53,$A6,Cronograma!$S$6:$S$53,"&gt;="&amp;F$5,Cronograma!$S$6:$S$53,"&lt;"&amp;EDATE(F$5,1))</f>
        <v>0</v>
      </c>
      <c r="G6" s="25" t="n">
        <f aca="false">COUNTIFS(Cronograma!$B$6:$B$53,$A6,Cronograma!$N$6:$N$53,"&gt;="&amp;G$5,Cronograma!$N$6:$N$53,"&lt;"&amp;EDATE(G$5,1))+COUNTIFS(Cronograma!$B$6:$B$53,$A6,Cronograma!$Q$6:$Q$53,"&gt;="&amp;G$5,Cronograma!$Q$6:$Q$53,"&lt;"&amp;EDATE(G$5,1))+COUNTIFS(Cronograma!$B$6:$B$53,$A6,Cronograma!$R$6:$R$53,"&gt;="&amp;G$5,Cronograma!$R$6:$R$53,"&lt;"&amp;EDATE(G$5,1))+COUNTIFS(Cronograma!$B$6:$B$53,$A6,Cronograma!$S$6:$S$53,"&gt;="&amp;G$5,Cronograma!$S$6:$S$53,"&lt;"&amp;EDATE(G$5,1))</f>
        <v>0</v>
      </c>
      <c r="H6" s="25" t="n">
        <f aca="false">COUNTIFS(Cronograma!$B$6:$B$53,$A6,Cronograma!$N$6:$N$53,"&gt;="&amp;H$5,Cronograma!$N$6:$N$53,"&lt;"&amp;EDATE(H$5,1))+COUNTIFS(Cronograma!$B$6:$B$53,$A6,Cronograma!$Q$6:$Q$53,"&gt;="&amp;H$5,Cronograma!$Q$6:$Q$53,"&lt;"&amp;EDATE(H$5,1))+COUNTIFS(Cronograma!$B$6:$B$53,$A6,Cronograma!$R$6:$R$53,"&gt;="&amp;H$5,Cronograma!$R$6:$R$53,"&lt;"&amp;EDATE(H$5,1))+COUNTIFS(Cronograma!$B$6:$B$53,$A6,Cronograma!$S$6:$S$53,"&gt;="&amp;H$5,Cronograma!$S$6:$S$53,"&lt;"&amp;EDATE(H$5,1))</f>
        <v>24</v>
      </c>
      <c r="I6" s="25" t="n">
        <f aca="false">COUNTIFS(Cronograma!$B$6:$B$53,$A6,Cronograma!$N$6:$N$53,"&gt;="&amp;I$5,Cronograma!$N$6:$N$53,"&lt;"&amp;EDATE(I$5,1))+COUNTIFS(Cronograma!$B$6:$B$53,$A6,Cronograma!$Q$6:$Q$53,"&gt;="&amp;I$5,Cronograma!$Q$6:$Q$53,"&lt;"&amp;EDATE(I$5,1))+COUNTIFS(Cronograma!$B$6:$B$53,$A6,Cronograma!$R$6:$R$53,"&gt;="&amp;I$5,Cronograma!$R$6:$R$53,"&lt;"&amp;EDATE(I$5,1))+COUNTIFS(Cronograma!$B$6:$B$53,$A6,Cronograma!$S$6:$S$53,"&gt;="&amp;I$5,Cronograma!$S$6:$S$53,"&lt;"&amp;EDATE(I$5,1))</f>
        <v>0</v>
      </c>
      <c r="J6" s="25" t="n">
        <f aca="false">COUNTIFS(Cronograma!$B$6:$B$53,$A6,Cronograma!$N$6:$N$53,"&gt;="&amp;J$5,Cronograma!$N$6:$N$53,"&lt;"&amp;EDATE(J$5,1))+COUNTIFS(Cronograma!$B$6:$B$53,$A6,Cronograma!$Q$6:$Q$53,"&gt;="&amp;J$5,Cronograma!$Q$6:$Q$53,"&lt;"&amp;EDATE(J$5,1))+COUNTIFS(Cronograma!$B$6:$B$53,$A6,Cronograma!$R$6:$R$53,"&gt;="&amp;J$5,Cronograma!$R$6:$R$53,"&lt;"&amp;EDATE(J$5,1))+COUNTIFS(Cronograma!$B$6:$B$53,$A6,Cronograma!$S$6:$S$53,"&gt;="&amp;J$5,Cronograma!$S$6:$S$53,"&lt;"&amp;EDATE(J$5,1))</f>
        <v>0</v>
      </c>
      <c r="K6" s="25" t="n">
        <f aca="false">COUNTIFS(Cronograma!$B$6:$B$53,$A6,Cronograma!$N$6:$N$53,"&gt;="&amp;K$5,Cronograma!$N$6:$N$53,"&lt;"&amp;EDATE(K$5,1))+COUNTIFS(Cronograma!$B$6:$B$53,$A6,Cronograma!$Q$6:$Q$53,"&gt;="&amp;K$5,Cronograma!$Q$6:$Q$53,"&lt;"&amp;EDATE(K$5,1))+COUNTIFS(Cronograma!$B$6:$B$53,$A6,Cronograma!$R$6:$R$53,"&gt;="&amp;K$5,Cronograma!$R$6:$R$53,"&lt;"&amp;EDATE(K$5,1))+COUNTIFS(Cronograma!$B$6:$B$53,$A6,Cronograma!$S$6:$S$53,"&gt;="&amp;K$5,Cronograma!$S$6:$S$53,"&lt;"&amp;EDATE(K$5,1))</f>
        <v>2</v>
      </c>
      <c r="L6" s="25" t="n">
        <f aca="false">COUNTIFS(Cronograma!$B$6:$B$53,$A6,Cronograma!$N$6:$N$53,"&gt;="&amp;L$5,Cronograma!$N$6:$N$53,"&lt;"&amp;EDATE(L$5,1))+COUNTIFS(Cronograma!$B$6:$B$53,$A6,Cronograma!$Q$6:$Q$53,"&gt;="&amp;L$5,Cronograma!$Q$6:$Q$53,"&lt;"&amp;EDATE(L$5,1))+COUNTIFS(Cronograma!$B$6:$B$53,$A6,Cronograma!$R$6:$R$53,"&gt;="&amp;L$5,Cronograma!$R$6:$R$53,"&lt;"&amp;EDATE(L$5,1))+COUNTIFS(Cronograma!$B$6:$B$53,$A6,Cronograma!$S$6:$S$53,"&gt;="&amp;L$5,Cronograma!$S$6:$S$53,"&lt;"&amp;EDATE(L$5,1))</f>
        <v>0</v>
      </c>
      <c r="M6" s="25" t="n">
        <f aca="false">COUNTIFS(Cronograma!$B$6:$B$53,$A6,Cronograma!$N$6:$N$53,"&gt;="&amp;M$5,Cronograma!$N$6:$N$53,"&lt;"&amp;EDATE(M$5,1))+COUNTIFS(Cronograma!$B$6:$B$53,$A6,Cronograma!$Q$6:$Q$53,"&gt;="&amp;M$5,Cronograma!$Q$6:$Q$53,"&lt;"&amp;EDATE(M$5,1))+COUNTIFS(Cronograma!$B$6:$B$53,$A6,Cronograma!$R$6:$R$53,"&gt;="&amp;M$5,Cronograma!$R$6:$R$53,"&lt;"&amp;EDATE(M$5,1))+COUNTIFS(Cronograma!$B$6:$B$53,$A6,Cronograma!$S$6:$S$53,"&gt;="&amp;M$5,Cronograma!$S$6:$S$53,"&lt;"&amp;EDATE(M$5,1))</f>
        <v>0</v>
      </c>
      <c r="N6" s="25" t="n">
        <f aca="false">COUNTIFS(Cronograma!$B$6:$B$53,$A6,Cronograma!$N$6:$N$53,"&gt;="&amp;N$5,Cronograma!$N$6:$N$53,"&lt;"&amp;EDATE(N$5,1))+COUNTIFS(Cronograma!$B$6:$B$53,$A6,Cronograma!$Q$6:$Q$53,"&gt;="&amp;N$5,Cronograma!$Q$6:$Q$53,"&lt;"&amp;EDATE(N$5,1))+COUNTIFS(Cronograma!$B$6:$B$53,$A6,Cronograma!$R$6:$R$53,"&gt;="&amp;N$5,Cronograma!$R$6:$R$53,"&lt;"&amp;EDATE(N$5,1))+COUNTIFS(Cronograma!$B$6:$B$53,$A6,Cronograma!$S$6:$S$53,"&gt;="&amp;N$5,Cronograma!$S$6:$S$53,"&lt;"&amp;EDATE(N$5,1))</f>
        <v>24</v>
      </c>
      <c r="O6" s="25" t="n">
        <f aca="false">COUNTIFS(Cronograma!$B$6:$B$53,$A6,Cronograma!$N$6:$N$53,"&gt;="&amp;O$5,Cronograma!$N$6:$N$53,"&lt;"&amp;EDATE(O$5,1))+COUNTIFS(Cronograma!$B$6:$B$53,$A6,Cronograma!$Q$6:$Q$53,"&gt;="&amp;O$5,Cronograma!$Q$6:$Q$53,"&lt;"&amp;EDATE(O$5,1))+COUNTIFS(Cronograma!$B$6:$B$53,$A6,Cronograma!$R$6:$R$53,"&gt;="&amp;O$5,Cronograma!$R$6:$R$53,"&lt;"&amp;EDATE(O$5,1))+COUNTIFS(Cronograma!$B$6:$B$53,$A6,Cronograma!$S$6:$S$53,"&gt;="&amp;O$5,Cronograma!$S$6:$S$53,"&lt;"&amp;EDATE(O$5,1))</f>
        <v>0</v>
      </c>
      <c r="P6" s="25" t="n">
        <f aca="false">COUNTIFS(Cronograma!$B$6:$B$53,$A6,Cronograma!$N$6:$N$53,"&gt;="&amp;P$5,Cronograma!$N$6:$N$53,"&lt;"&amp;EDATE(P$5,1))+COUNTIFS(Cronograma!$B$6:$B$53,$A6,Cronograma!$Q$6:$Q$53,"&gt;="&amp;P$5,Cronograma!$Q$6:$Q$53,"&lt;"&amp;EDATE(P$5,1))+COUNTIFS(Cronograma!$B$6:$B$53,$A6,Cronograma!$R$6:$R$53,"&gt;="&amp;P$5,Cronograma!$R$6:$R$53,"&lt;"&amp;EDATE(P$5,1))+COUNTIFS(Cronograma!$B$6:$B$53,$A6,Cronograma!$S$6:$S$53,"&gt;="&amp;P$5,Cronograma!$S$6:$S$53,"&lt;"&amp;EDATE(P$5,1))</f>
        <v>0</v>
      </c>
      <c r="Q6" s="25" t="n">
        <f aca="false">COUNTIFS(Cronograma!$B$6:$B$53,$A6,Cronograma!$N$6:$N$53,"&gt;="&amp;Q$5,Cronograma!$N$6:$N$53,"&lt;"&amp;EDATE(Q$5,1))+COUNTIFS(Cronograma!$B$6:$B$53,$A6,Cronograma!$Q$6:$Q$53,"&gt;="&amp;Q$5,Cronograma!$Q$6:$Q$53,"&lt;"&amp;EDATE(Q$5,1))+COUNTIFS(Cronograma!$B$6:$B$53,$A6,Cronograma!$R$6:$R$53,"&gt;="&amp;Q$5,Cronograma!$R$6:$R$53,"&lt;"&amp;EDATE(Q$5,1))+COUNTIFS(Cronograma!$B$6:$B$53,$A6,Cronograma!$S$6:$S$53,"&gt;="&amp;Q$5,Cronograma!$S$6:$S$53,"&lt;"&amp;EDATE(Q$5,1))</f>
        <v>2</v>
      </c>
      <c r="R6" s="25" t="n">
        <f aca="false">COUNTIFS(Cronograma!$B$6:$B$53,$A6,Cronograma!$N$6:$N$53,"&gt;="&amp;R$5,Cronograma!$N$6:$N$53,"&lt;"&amp;EDATE(R$5,1))+COUNTIFS(Cronograma!$B$6:$B$53,$A6,Cronograma!$Q$6:$Q$53,"&gt;="&amp;R$5,Cronograma!$Q$6:$Q$53,"&lt;"&amp;EDATE(R$5,1))+COUNTIFS(Cronograma!$B$6:$B$53,$A6,Cronograma!$R$6:$R$53,"&gt;="&amp;R$5,Cronograma!$R$6:$R$53,"&lt;"&amp;EDATE(R$5,1))+COUNTIFS(Cronograma!$B$6:$B$53,$A6,Cronograma!$S$6:$S$53,"&gt;="&amp;R$5,Cronograma!$S$6:$S$53,"&lt;"&amp;EDATE(R$5,1))</f>
        <v>0</v>
      </c>
      <c r="S6" s="25" t="n">
        <f aca="false">COUNTIFS(Cronograma!$B$6:$B$53,$A6,Cronograma!$N$6:$N$53,"&gt;="&amp;S$5,Cronograma!$N$6:$N$53,"&lt;"&amp;EDATE(S$5,1))+COUNTIFS(Cronograma!$B$6:$B$53,$A6,Cronograma!$Q$6:$Q$53,"&gt;="&amp;S$5,Cronograma!$Q$6:$Q$53,"&lt;"&amp;EDATE(S$5,1))+COUNTIFS(Cronograma!$B$6:$B$53,$A6,Cronograma!$R$6:$R$53,"&gt;="&amp;S$5,Cronograma!$R$6:$R$53,"&lt;"&amp;EDATE(S$5,1))+COUNTIFS(Cronograma!$B$6:$B$53,$A6,Cronograma!$S$6:$S$53,"&gt;="&amp;S$5,Cronograma!$S$6:$S$53,"&lt;"&amp;EDATE(S$5,1))</f>
        <v>0</v>
      </c>
      <c r="T6" s="25" t="n">
        <f aca="false">COUNTIFS(Cronograma!$B$6:$B$53,$A6,Cronograma!$N$6:$N$53,"&gt;="&amp;T$5,Cronograma!$N$6:$N$53,"&lt;"&amp;EDATE(T$5,1))+COUNTIFS(Cronograma!$B$6:$B$53,$A6,Cronograma!$Q$6:$Q$53,"&gt;="&amp;T$5,Cronograma!$Q$6:$Q$53,"&lt;"&amp;EDATE(T$5,1))+COUNTIFS(Cronograma!$B$6:$B$53,$A6,Cronograma!$R$6:$R$53,"&gt;="&amp;T$5,Cronograma!$R$6:$R$53,"&lt;"&amp;EDATE(T$5,1))+COUNTIFS(Cronograma!$B$6:$B$53,$A6,Cronograma!$S$6:$S$53,"&gt;="&amp;T$5,Cronograma!$S$6:$S$53,"&lt;"&amp;EDATE(T$5,1))</f>
        <v>24</v>
      </c>
      <c r="U6" s="25" t="n">
        <f aca="false">COUNTIFS(Cronograma!$B$6:$B$53,$A6,Cronograma!$N$6:$N$53,"&gt;="&amp;U$5,Cronograma!$N$6:$N$53,"&lt;"&amp;EDATE(U$5,1))+COUNTIFS(Cronograma!$B$6:$B$53,$A6,Cronograma!$Q$6:$Q$53,"&gt;="&amp;U$5,Cronograma!$Q$6:$Q$53,"&lt;"&amp;EDATE(U$5,1))+COUNTIFS(Cronograma!$B$6:$B$53,$A6,Cronograma!$R$6:$R$53,"&gt;="&amp;U$5,Cronograma!$R$6:$R$53,"&lt;"&amp;EDATE(U$5,1))+COUNTIFS(Cronograma!$B$6:$B$53,$A6,Cronograma!$S$6:$S$53,"&gt;="&amp;U$5,Cronograma!$S$6:$S$53,"&lt;"&amp;EDATE(U$5,1))</f>
        <v>0</v>
      </c>
      <c r="V6" s="25" t="n">
        <f aca="false">COUNTIFS(Cronograma!$B$6:$B$53,$A6,Cronograma!$N$6:$N$53,"&gt;="&amp;V$5,Cronograma!$N$6:$N$53,"&lt;"&amp;EDATE(V$5,1))+COUNTIFS(Cronograma!$B$6:$B$53,$A6,Cronograma!$Q$6:$Q$53,"&gt;="&amp;V$5,Cronograma!$Q$6:$Q$53,"&lt;"&amp;EDATE(V$5,1))+COUNTIFS(Cronograma!$B$6:$B$53,$A6,Cronograma!$R$6:$R$53,"&gt;="&amp;V$5,Cronograma!$R$6:$R$53,"&lt;"&amp;EDATE(V$5,1))+COUNTIFS(Cronograma!$B$6:$B$53,$A6,Cronograma!$S$6:$S$53,"&gt;="&amp;V$5,Cronograma!$S$6:$S$53,"&lt;"&amp;EDATE(V$5,1))</f>
        <v>0</v>
      </c>
      <c r="W6" s="25" t="n">
        <f aca="false">COUNTIFS(Cronograma!$B$6:$B$53,$A6,Cronograma!$N$6:$N$53,"&gt;="&amp;W$5,Cronograma!$N$6:$N$53,"&lt;"&amp;EDATE(W$5,1))+COUNTIFS(Cronograma!$B$6:$B$53,$A6,Cronograma!$Q$6:$Q$53,"&gt;="&amp;W$5,Cronograma!$Q$6:$Q$53,"&lt;"&amp;EDATE(W$5,1))+COUNTIFS(Cronograma!$B$6:$B$53,$A6,Cronograma!$R$6:$R$53,"&gt;="&amp;W$5,Cronograma!$R$6:$R$53,"&lt;"&amp;EDATE(W$5,1))+COUNTIFS(Cronograma!$B$6:$B$53,$A6,Cronograma!$S$6:$S$53,"&gt;="&amp;W$5,Cronograma!$S$6:$S$53,"&lt;"&amp;EDATE(W$5,1))</f>
        <v>2</v>
      </c>
      <c r="X6" s="25" t="n">
        <f aca="false">COUNTIFS(Cronograma!$B$6:$B$53,$A6,Cronograma!$N$6:$N$53,"&gt;="&amp;X$5,Cronograma!$N$6:$N$53,"&lt;"&amp;EDATE(X$5,1))+COUNTIFS(Cronograma!$B$6:$B$53,$A6,Cronograma!$Q$6:$Q$53,"&gt;="&amp;X$5,Cronograma!$Q$6:$Q$53,"&lt;"&amp;EDATE(X$5,1))+COUNTIFS(Cronograma!$B$6:$B$53,$A6,Cronograma!$R$6:$R$53,"&gt;="&amp;X$5,Cronograma!$R$6:$R$53,"&lt;"&amp;EDATE(X$5,1))+COUNTIFS(Cronograma!$B$6:$B$53,$A6,Cronograma!$S$6:$S$53,"&gt;="&amp;X$5,Cronograma!$S$6:$S$53,"&lt;"&amp;EDATE(X$5,1))</f>
        <v>0</v>
      </c>
      <c r="Y6" s="25" t="n">
        <f aca="false">COUNTIFS(Cronograma!$B$6:$B$53,$A6,Cronograma!$N$6:$N$53,"&gt;="&amp;Y$5,Cronograma!$N$6:$N$53,"&lt;"&amp;EDATE(Y$5,1))+COUNTIFS(Cronograma!$B$6:$B$53,$A6,Cronograma!$Q$6:$Q$53,"&gt;="&amp;Y$5,Cronograma!$Q$6:$Q$53,"&lt;"&amp;EDATE(Y$5,1))+COUNTIFS(Cronograma!$B$6:$B$53,$A6,Cronograma!$R$6:$R$53,"&gt;="&amp;Y$5,Cronograma!$R$6:$R$53,"&lt;"&amp;EDATE(Y$5,1))+COUNTIFS(Cronograma!$B$6:$B$53,$A6,Cronograma!$S$6:$S$53,"&gt;="&amp;Y$5,Cronograma!$S$6:$S$53,"&lt;"&amp;EDATE(Y$5,1))</f>
        <v>0</v>
      </c>
      <c r="Z6" s="4" t="n">
        <f aca="false">SUM(B6:Y6)</f>
        <v>104</v>
      </c>
    </row>
    <row r="7" customFormat="false" ht="15" hidden="false" customHeight="false" outlineLevel="0" collapsed="false">
      <c r="A7" s="24" t="s">
        <v>77</v>
      </c>
      <c r="B7" s="25" t="n">
        <f aca="false">COUNTIFS(Cronograma!$B$6:$B$53,$A7,Cronograma!$N$6:$N$53,"&gt;="&amp;B$5,Cronograma!$N$6:$N$53,"&lt;"&amp;EDATE(B$5,1))+COUNTIFS(Cronograma!$B$6:$B$53,$A7,Cronograma!$Q$6:$Q$53,"&gt;="&amp;B$5,Cronograma!$Q$6:$Q$53,"&lt;"&amp;EDATE(B$5,1))+COUNTIFS(Cronograma!$B$6:$B$53,$A7,Cronograma!$R$6:$R$53,"&gt;="&amp;B$5,Cronograma!$R$6:$R$53,"&lt;"&amp;EDATE(B$5,1))+COUNTIFS(Cronograma!$B$6:$B$53,$A7,Cronograma!$S$6:$S$53,"&gt;="&amp;B$5,Cronograma!$S$6:$S$53,"&lt;"&amp;EDATE(B$5,1))</f>
        <v>4</v>
      </c>
      <c r="C7" s="25" t="n">
        <f aca="false">COUNTIFS(Cronograma!$B$6:$B$53,$A7,Cronograma!$N$6:$N$53,"&gt;="&amp;C$5,Cronograma!$N$6:$N$53,"&lt;"&amp;EDATE(C$5,1))+COUNTIFS(Cronograma!$B$6:$B$53,$A7,Cronograma!$Q$6:$Q$53,"&gt;="&amp;C$5,Cronograma!$Q$6:$Q$53,"&lt;"&amp;EDATE(C$5,1))+COUNTIFS(Cronograma!$B$6:$B$53,$A7,Cronograma!$R$6:$R$53,"&gt;="&amp;C$5,Cronograma!$R$6:$R$53,"&lt;"&amp;EDATE(C$5,1))+COUNTIFS(Cronograma!$B$6:$B$53,$A7,Cronograma!$S$6:$S$53,"&gt;="&amp;C$5,Cronograma!$S$6:$S$53,"&lt;"&amp;EDATE(C$5,1))</f>
        <v>0</v>
      </c>
      <c r="D7" s="25" t="n">
        <f aca="false">COUNTIFS(Cronograma!$B$6:$B$53,$A7,Cronograma!$N$6:$N$53,"&gt;="&amp;D$5,Cronograma!$N$6:$N$53,"&lt;"&amp;EDATE(D$5,1))+COUNTIFS(Cronograma!$B$6:$B$53,$A7,Cronograma!$Q$6:$Q$53,"&gt;="&amp;D$5,Cronograma!$Q$6:$Q$53,"&lt;"&amp;EDATE(D$5,1))+COUNTIFS(Cronograma!$B$6:$B$53,$A7,Cronograma!$R$6:$R$53,"&gt;="&amp;D$5,Cronograma!$R$6:$R$53,"&lt;"&amp;EDATE(D$5,1))+COUNTIFS(Cronograma!$B$6:$B$53,$A7,Cronograma!$S$6:$S$53,"&gt;="&amp;D$5,Cronograma!$S$6:$S$53,"&lt;"&amp;EDATE(D$5,1))</f>
        <v>4</v>
      </c>
      <c r="E7" s="25" t="n">
        <f aca="false">COUNTIFS(Cronograma!$B$6:$B$53,$A7,Cronograma!$N$6:$N$53,"&gt;="&amp;E$5,Cronograma!$N$6:$N$53,"&lt;"&amp;EDATE(E$5,1))+COUNTIFS(Cronograma!$B$6:$B$53,$A7,Cronograma!$Q$6:$Q$53,"&gt;="&amp;E$5,Cronograma!$Q$6:$Q$53,"&lt;"&amp;EDATE(E$5,1))+COUNTIFS(Cronograma!$B$6:$B$53,$A7,Cronograma!$R$6:$R$53,"&gt;="&amp;E$5,Cronograma!$R$6:$R$53,"&lt;"&amp;EDATE(E$5,1))+COUNTIFS(Cronograma!$B$6:$B$53,$A7,Cronograma!$S$6:$S$53,"&gt;="&amp;E$5,Cronograma!$S$6:$S$53,"&lt;"&amp;EDATE(E$5,1))</f>
        <v>0</v>
      </c>
      <c r="F7" s="25" t="n">
        <f aca="false">COUNTIFS(Cronograma!$B$6:$B$53,$A7,Cronograma!$N$6:$N$53,"&gt;="&amp;F$5,Cronograma!$N$6:$N$53,"&lt;"&amp;EDATE(F$5,1))+COUNTIFS(Cronograma!$B$6:$B$53,$A7,Cronograma!$Q$6:$Q$53,"&gt;="&amp;F$5,Cronograma!$Q$6:$Q$53,"&lt;"&amp;EDATE(F$5,1))+COUNTIFS(Cronograma!$B$6:$B$53,$A7,Cronograma!$R$6:$R$53,"&gt;="&amp;F$5,Cronograma!$R$6:$R$53,"&lt;"&amp;EDATE(F$5,1))+COUNTIFS(Cronograma!$B$6:$B$53,$A7,Cronograma!$S$6:$S$53,"&gt;="&amp;F$5,Cronograma!$S$6:$S$53,"&lt;"&amp;EDATE(F$5,1))</f>
        <v>5</v>
      </c>
      <c r="G7" s="25" t="n">
        <f aca="false">COUNTIFS(Cronograma!$B$6:$B$53,$A7,Cronograma!$N$6:$N$53,"&gt;="&amp;G$5,Cronograma!$N$6:$N$53,"&lt;"&amp;EDATE(G$5,1))+COUNTIFS(Cronograma!$B$6:$B$53,$A7,Cronograma!$Q$6:$Q$53,"&gt;="&amp;G$5,Cronograma!$Q$6:$Q$53,"&lt;"&amp;EDATE(G$5,1))+COUNTIFS(Cronograma!$B$6:$B$53,$A7,Cronograma!$R$6:$R$53,"&gt;="&amp;G$5,Cronograma!$R$6:$R$53,"&lt;"&amp;EDATE(G$5,1))+COUNTIFS(Cronograma!$B$6:$B$53,$A7,Cronograma!$S$6:$S$53,"&gt;="&amp;G$5,Cronograma!$S$6:$S$53,"&lt;"&amp;EDATE(G$5,1))</f>
        <v>4</v>
      </c>
      <c r="H7" s="25" t="n">
        <f aca="false">COUNTIFS(Cronograma!$B$6:$B$53,$A7,Cronograma!$N$6:$N$53,"&gt;="&amp;H$5,Cronograma!$N$6:$N$53,"&lt;"&amp;EDATE(H$5,1))+COUNTIFS(Cronograma!$B$6:$B$53,$A7,Cronograma!$Q$6:$Q$53,"&gt;="&amp;H$5,Cronograma!$Q$6:$Q$53,"&lt;"&amp;EDATE(H$5,1))+COUNTIFS(Cronograma!$B$6:$B$53,$A7,Cronograma!$R$6:$R$53,"&gt;="&amp;H$5,Cronograma!$R$6:$R$53,"&lt;"&amp;EDATE(H$5,1))+COUNTIFS(Cronograma!$B$6:$B$53,$A7,Cronograma!$S$6:$S$53,"&gt;="&amp;H$5,Cronograma!$S$6:$S$53,"&lt;"&amp;EDATE(H$5,1))</f>
        <v>4</v>
      </c>
      <c r="I7" s="25" t="n">
        <f aca="false">COUNTIFS(Cronograma!$B$6:$B$53,$A7,Cronograma!$N$6:$N$53,"&gt;="&amp;I$5,Cronograma!$N$6:$N$53,"&lt;"&amp;EDATE(I$5,1))+COUNTIFS(Cronograma!$B$6:$B$53,$A7,Cronograma!$Q$6:$Q$53,"&gt;="&amp;I$5,Cronograma!$Q$6:$Q$53,"&lt;"&amp;EDATE(I$5,1))+COUNTIFS(Cronograma!$B$6:$B$53,$A7,Cronograma!$R$6:$R$53,"&gt;="&amp;I$5,Cronograma!$R$6:$R$53,"&lt;"&amp;EDATE(I$5,1))+COUNTIFS(Cronograma!$B$6:$B$53,$A7,Cronograma!$S$6:$S$53,"&gt;="&amp;I$5,Cronograma!$S$6:$S$53,"&lt;"&amp;EDATE(I$5,1))</f>
        <v>0</v>
      </c>
      <c r="J7" s="25" t="n">
        <f aca="false">COUNTIFS(Cronograma!$B$6:$B$53,$A7,Cronograma!$N$6:$N$53,"&gt;="&amp;J$5,Cronograma!$N$6:$N$53,"&lt;"&amp;EDATE(J$5,1))+COUNTIFS(Cronograma!$B$6:$B$53,$A7,Cronograma!$Q$6:$Q$53,"&gt;="&amp;J$5,Cronograma!$Q$6:$Q$53,"&lt;"&amp;EDATE(J$5,1))+COUNTIFS(Cronograma!$B$6:$B$53,$A7,Cronograma!$R$6:$R$53,"&gt;="&amp;J$5,Cronograma!$R$6:$R$53,"&lt;"&amp;EDATE(J$5,1))+COUNTIFS(Cronograma!$B$6:$B$53,$A7,Cronograma!$S$6:$S$53,"&gt;="&amp;J$5,Cronograma!$S$6:$S$53,"&lt;"&amp;EDATE(J$5,1))</f>
        <v>4</v>
      </c>
      <c r="K7" s="25" t="n">
        <f aca="false">COUNTIFS(Cronograma!$B$6:$B$53,$A7,Cronograma!$N$6:$N$53,"&gt;="&amp;K$5,Cronograma!$N$6:$N$53,"&lt;"&amp;EDATE(K$5,1))+COUNTIFS(Cronograma!$B$6:$B$53,$A7,Cronograma!$Q$6:$Q$53,"&gt;="&amp;K$5,Cronograma!$Q$6:$Q$53,"&lt;"&amp;EDATE(K$5,1))+COUNTIFS(Cronograma!$B$6:$B$53,$A7,Cronograma!$R$6:$R$53,"&gt;="&amp;K$5,Cronograma!$R$6:$R$53,"&lt;"&amp;EDATE(K$5,1))+COUNTIFS(Cronograma!$B$6:$B$53,$A7,Cronograma!$S$6:$S$53,"&gt;="&amp;K$5,Cronograma!$S$6:$S$53,"&lt;"&amp;EDATE(K$5,1))</f>
        <v>0</v>
      </c>
      <c r="L7" s="25" t="n">
        <f aca="false">COUNTIFS(Cronograma!$B$6:$B$53,$A7,Cronograma!$N$6:$N$53,"&gt;="&amp;L$5,Cronograma!$N$6:$N$53,"&lt;"&amp;EDATE(L$5,1))+COUNTIFS(Cronograma!$B$6:$B$53,$A7,Cronograma!$Q$6:$Q$53,"&gt;="&amp;L$5,Cronograma!$Q$6:$Q$53,"&lt;"&amp;EDATE(L$5,1))+COUNTIFS(Cronograma!$B$6:$B$53,$A7,Cronograma!$R$6:$R$53,"&gt;="&amp;L$5,Cronograma!$R$6:$R$53,"&lt;"&amp;EDATE(L$5,1))+COUNTIFS(Cronograma!$B$6:$B$53,$A7,Cronograma!$S$6:$S$53,"&gt;="&amp;L$5,Cronograma!$S$6:$S$53,"&lt;"&amp;EDATE(L$5,1))</f>
        <v>5</v>
      </c>
      <c r="M7" s="25" t="n">
        <f aca="false">COUNTIFS(Cronograma!$B$6:$B$53,$A7,Cronograma!$N$6:$N$53,"&gt;="&amp;M$5,Cronograma!$N$6:$N$53,"&lt;"&amp;EDATE(M$5,1))+COUNTIFS(Cronograma!$B$6:$B$53,$A7,Cronograma!$Q$6:$Q$53,"&gt;="&amp;M$5,Cronograma!$Q$6:$Q$53,"&lt;"&amp;EDATE(M$5,1))+COUNTIFS(Cronograma!$B$6:$B$53,$A7,Cronograma!$R$6:$R$53,"&gt;="&amp;M$5,Cronograma!$R$6:$R$53,"&lt;"&amp;EDATE(M$5,1))+COUNTIFS(Cronograma!$B$6:$B$53,$A7,Cronograma!$S$6:$S$53,"&gt;="&amp;M$5,Cronograma!$S$6:$S$53,"&lt;"&amp;EDATE(M$5,1))</f>
        <v>4</v>
      </c>
      <c r="N7" s="25" t="n">
        <f aca="false">COUNTIFS(Cronograma!$B$6:$B$53,$A7,Cronograma!$N$6:$N$53,"&gt;="&amp;N$5,Cronograma!$N$6:$N$53,"&lt;"&amp;EDATE(N$5,1))+COUNTIFS(Cronograma!$B$6:$B$53,$A7,Cronograma!$Q$6:$Q$53,"&gt;="&amp;N$5,Cronograma!$Q$6:$Q$53,"&lt;"&amp;EDATE(N$5,1))+COUNTIFS(Cronograma!$B$6:$B$53,$A7,Cronograma!$R$6:$R$53,"&gt;="&amp;N$5,Cronograma!$R$6:$R$53,"&lt;"&amp;EDATE(N$5,1))+COUNTIFS(Cronograma!$B$6:$B$53,$A7,Cronograma!$S$6:$S$53,"&gt;="&amp;N$5,Cronograma!$S$6:$S$53,"&lt;"&amp;EDATE(N$5,1))</f>
        <v>4</v>
      </c>
      <c r="O7" s="25" t="n">
        <f aca="false">COUNTIFS(Cronograma!$B$6:$B$53,$A7,Cronograma!$N$6:$N$53,"&gt;="&amp;O$5,Cronograma!$N$6:$N$53,"&lt;"&amp;EDATE(O$5,1))+COUNTIFS(Cronograma!$B$6:$B$53,$A7,Cronograma!$Q$6:$Q$53,"&gt;="&amp;O$5,Cronograma!$Q$6:$Q$53,"&lt;"&amp;EDATE(O$5,1))+COUNTIFS(Cronograma!$B$6:$B$53,$A7,Cronograma!$R$6:$R$53,"&gt;="&amp;O$5,Cronograma!$R$6:$R$53,"&lt;"&amp;EDATE(O$5,1))+COUNTIFS(Cronograma!$B$6:$B$53,$A7,Cronograma!$S$6:$S$53,"&gt;="&amp;O$5,Cronograma!$S$6:$S$53,"&lt;"&amp;EDATE(O$5,1))</f>
        <v>0</v>
      </c>
      <c r="P7" s="25" t="n">
        <f aca="false">COUNTIFS(Cronograma!$B$6:$B$53,$A7,Cronograma!$N$6:$N$53,"&gt;="&amp;P$5,Cronograma!$N$6:$N$53,"&lt;"&amp;EDATE(P$5,1))+COUNTIFS(Cronograma!$B$6:$B$53,$A7,Cronograma!$Q$6:$Q$53,"&gt;="&amp;P$5,Cronograma!$Q$6:$Q$53,"&lt;"&amp;EDATE(P$5,1))+COUNTIFS(Cronograma!$B$6:$B$53,$A7,Cronograma!$R$6:$R$53,"&gt;="&amp;P$5,Cronograma!$R$6:$R$53,"&lt;"&amp;EDATE(P$5,1))+COUNTIFS(Cronograma!$B$6:$B$53,$A7,Cronograma!$S$6:$S$53,"&gt;="&amp;P$5,Cronograma!$S$6:$S$53,"&lt;"&amp;EDATE(P$5,1))</f>
        <v>4</v>
      </c>
      <c r="Q7" s="25" t="n">
        <f aca="false">COUNTIFS(Cronograma!$B$6:$B$53,$A7,Cronograma!$N$6:$N$53,"&gt;="&amp;Q$5,Cronograma!$N$6:$N$53,"&lt;"&amp;EDATE(Q$5,1))+COUNTIFS(Cronograma!$B$6:$B$53,$A7,Cronograma!$Q$6:$Q$53,"&gt;="&amp;Q$5,Cronograma!$Q$6:$Q$53,"&lt;"&amp;EDATE(Q$5,1))+COUNTIFS(Cronograma!$B$6:$B$53,$A7,Cronograma!$R$6:$R$53,"&gt;="&amp;Q$5,Cronograma!$R$6:$R$53,"&lt;"&amp;EDATE(Q$5,1))+COUNTIFS(Cronograma!$B$6:$B$53,$A7,Cronograma!$S$6:$S$53,"&gt;="&amp;Q$5,Cronograma!$S$6:$S$53,"&lt;"&amp;EDATE(Q$5,1))</f>
        <v>0</v>
      </c>
      <c r="R7" s="25" t="n">
        <f aca="false">COUNTIFS(Cronograma!$B$6:$B$53,$A7,Cronograma!$N$6:$N$53,"&gt;="&amp;R$5,Cronograma!$N$6:$N$53,"&lt;"&amp;EDATE(R$5,1))+COUNTIFS(Cronograma!$B$6:$B$53,$A7,Cronograma!$Q$6:$Q$53,"&gt;="&amp;R$5,Cronograma!$Q$6:$Q$53,"&lt;"&amp;EDATE(R$5,1))+COUNTIFS(Cronograma!$B$6:$B$53,$A7,Cronograma!$R$6:$R$53,"&gt;="&amp;R$5,Cronograma!$R$6:$R$53,"&lt;"&amp;EDATE(R$5,1))+COUNTIFS(Cronograma!$B$6:$B$53,$A7,Cronograma!$S$6:$S$53,"&gt;="&amp;R$5,Cronograma!$S$6:$S$53,"&lt;"&amp;EDATE(R$5,1))</f>
        <v>5</v>
      </c>
      <c r="S7" s="25" t="n">
        <f aca="false">COUNTIFS(Cronograma!$B$6:$B$53,$A7,Cronograma!$N$6:$N$53,"&gt;="&amp;S$5,Cronograma!$N$6:$N$53,"&lt;"&amp;EDATE(S$5,1))+COUNTIFS(Cronograma!$B$6:$B$53,$A7,Cronograma!$Q$6:$Q$53,"&gt;="&amp;S$5,Cronograma!$Q$6:$Q$53,"&lt;"&amp;EDATE(S$5,1))+COUNTIFS(Cronograma!$B$6:$B$53,$A7,Cronograma!$R$6:$R$53,"&gt;="&amp;S$5,Cronograma!$R$6:$R$53,"&lt;"&amp;EDATE(S$5,1))+COUNTIFS(Cronograma!$B$6:$B$53,$A7,Cronograma!$S$6:$S$53,"&gt;="&amp;S$5,Cronograma!$S$6:$S$53,"&lt;"&amp;EDATE(S$5,1))</f>
        <v>4</v>
      </c>
      <c r="T7" s="25" t="n">
        <f aca="false">COUNTIFS(Cronograma!$B$6:$B$53,$A7,Cronograma!$N$6:$N$53,"&gt;="&amp;T$5,Cronograma!$N$6:$N$53,"&lt;"&amp;EDATE(T$5,1))+COUNTIFS(Cronograma!$B$6:$B$53,$A7,Cronograma!$Q$6:$Q$53,"&gt;="&amp;T$5,Cronograma!$Q$6:$Q$53,"&lt;"&amp;EDATE(T$5,1))+COUNTIFS(Cronograma!$B$6:$B$53,$A7,Cronograma!$R$6:$R$53,"&gt;="&amp;T$5,Cronograma!$R$6:$R$53,"&lt;"&amp;EDATE(T$5,1))+COUNTIFS(Cronograma!$B$6:$B$53,$A7,Cronograma!$S$6:$S$53,"&gt;="&amp;T$5,Cronograma!$S$6:$S$53,"&lt;"&amp;EDATE(T$5,1))</f>
        <v>4</v>
      </c>
      <c r="U7" s="25" t="n">
        <f aca="false">COUNTIFS(Cronograma!$B$6:$B$53,$A7,Cronograma!$N$6:$N$53,"&gt;="&amp;U$5,Cronograma!$N$6:$N$53,"&lt;"&amp;EDATE(U$5,1))+COUNTIFS(Cronograma!$B$6:$B$53,$A7,Cronograma!$Q$6:$Q$53,"&gt;="&amp;U$5,Cronograma!$Q$6:$Q$53,"&lt;"&amp;EDATE(U$5,1))+COUNTIFS(Cronograma!$B$6:$B$53,$A7,Cronograma!$R$6:$R$53,"&gt;="&amp;U$5,Cronograma!$R$6:$R$53,"&lt;"&amp;EDATE(U$5,1))+COUNTIFS(Cronograma!$B$6:$B$53,$A7,Cronograma!$S$6:$S$53,"&gt;="&amp;U$5,Cronograma!$S$6:$S$53,"&lt;"&amp;EDATE(U$5,1))</f>
        <v>0</v>
      </c>
      <c r="V7" s="25" t="n">
        <f aca="false">COUNTIFS(Cronograma!$B$6:$B$53,$A7,Cronograma!$N$6:$N$53,"&gt;="&amp;V$5,Cronograma!$N$6:$N$53,"&lt;"&amp;EDATE(V$5,1))+COUNTIFS(Cronograma!$B$6:$B$53,$A7,Cronograma!$Q$6:$Q$53,"&gt;="&amp;V$5,Cronograma!$Q$6:$Q$53,"&lt;"&amp;EDATE(V$5,1))+COUNTIFS(Cronograma!$B$6:$B$53,$A7,Cronograma!$R$6:$R$53,"&gt;="&amp;V$5,Cronograma!$R$6:$R$53,"&lt;"&amp;EDATE(V$5,1))+COUNTIFS(Cronograma!$B$6:$B$53,$A7,Cronograma!$S$6:$S$53,"&gt;="&amp;V$5,Cronograma!$S$6:$S$53,"&lt;"&amp;EDATE(V$5,1))</f>
        <v>4</v>
      </c>
      <c r="W7" s="25" t="n">
        <f aca="false">COUNTIFS(Cronograma!$B$6:$B$53,$A7,Cronograma!$N$6:$N$53,"&gt;="&amp;W$5,Cronograma!$N$6:$N$53,"&lt;"&amp;EDATE(W$5,1))+COUNTIFS(Cronograma!$B$6:$B$53,$A7,Cronograma!$Q$6:$Q$53,"&gt;="&amp;W$5,Cronograma!$Q$6:$Q$53,"&lt;"&amp;EDATE(W$5,1))+COUNTIFS(Cronograma!$B$6:$B$53,$A7,Cronograma!$R$6:$R$53,"&gt;="&amp;W$5,Cronograma!$R$6:$R$53,"&lt;"&amp;EDATE(W$5,1))+COUNTIFS(Cronograma!$B$6:$B$53,$A7,Cronograma!$S$6:$S$53,"&gt;="&amp;W$5,Cronograma!$S$6:$S$53,"&lt;"&amp;EDATE(W$5,1))</f>
        <v>0</v>
      </c>
      <c r="X7" s="25" t="n">
        <f aca="false">COUNTIFS(Cronograma!$B$6:$B$53,$A7,Cronograma!$N$6:$N$53,"&gt;="&amp;X$5,Cronograma!$N$6:$N$53,"&lt;"&amp;EDATE(X$5,1))+COUNTIFS(Cronograma!$B$6:$B$53,$A7,Cronograma!$Q$6:$Q$53,"&gt;="&amp;X$5,Cronograma!$Q$6:$Q$53,"&lt;"&amp;EDATE(X$5,1))+COUNTIFS(Cronograma!$B$6:$B$53,$A7,Cronograma!$R$6:$R$53,"&gt;="&amp;X$5,Cronograma!$R$6:$R$53,"&lt;"&amp;EDATE(X$5,1))+COUNTIFS(Cronograma!$B$6:$B$53,$A7,Cronograma!$S$6:$S$53,"&gt;="&amp;X$5,Cronograma!$S$6:$S$53,"&lt;"&amp;EDATE(X$5,1))</f>
        <v>5</v>
      </c>
      <c r="Y7" s="25" t="n">
        <f aca="false">COUNTIFS(Cronograma!$B$6:$B$53,$A7,Cronograma!$N$6:$N$53,"&gt;="&amp;Y$5,Cronograma!$N$6:$N$53,"&lt;"&amp;EDATE(Y$5,1))+COUNTIFS(Cronograma!$B$6:$B$53,$A7,Cronograma!$Q$6:$Q$53,"&gt;="&amp;Y$5,Cronograma!$Q$6:$Q$53,"&lt;"&amp;EDATE(Y$5,1))+COUNTIFS(Cronograma!$B$6:$B$53,$A7,Cronograma!$R$6:$R$53,"&gt;="&amp;Y$5,Cronograma!$R$6:$R$53,"&lt;"&amp;EDATE(Y$5,1))+COUNTIFS(Cronograma!$B$6:$B$53,$A7,Cronograma!$S$6:$S$53,"&gt;="&amp;Y$5,Cronograma!$S$6:$S$53,"&lt;"&amp;EDATE(Y$5,1))</f>
        <v>4</v>
      </c>
      <c r="Z7" s="4" t="n">
        <f aca="false">SUM(B7:Y7)</f>
        <v>68</v>
      </c>
    </row>
    <row r="8" customFormat="false" ht="15" hidden="false" customHeight="false" outlineLevel="0" collapsed="false">
      <c r="A8" s="24" t="s">
        <v>100</v>
      </c>
      <c r="B8" s="25" t="n">
        <f aca="false">COUNTIFS(Cronograma!$B$6:$B$53,$A8,Cronograma!$N$6:$N$53,"&gt;="&amp;B$5,Cronograma!$N$6:$N$53,"&lt;"&amp;EDATE(B$5,1))+COUNTIFS(Cronograma!$B$6:$B$53,$A8,Cronograma!$Q$6:$Q$53,"&gt;="&amp;B$5,Cronograma!$Q$6:$Q$53,"&lt;"&amp;EDATE(B$5,1))+COUNTIFS(Cronograma!$B$6:$B$53,$A8,Cronograma!$R$6:$R$53,"&gt;="&amp;B$5,Cronograma!$R$6:$R$53,"&lt;"&amp;EDATE(B$5,1))+COUNTIFS(Cronograma!$B$6:$B$53,$A8,Cronograma!$S$6:$S$53,"&gt;="&amp;B$5,Cronograma!$S$6:$S$53,"&lt;"&amp;EDATE(B$5,1))</f>
        <v>1</v>
      </c>
      <c r="C8" s="25" t="n">
        <f aca="false">COUNTIFS(Cronograma!$B$6:$B$53,$A8,Cronograma!$N$6:$N$53,"&gt;="&amp;C$5,Cronograma!$N$6:$N$53,"&lt;"&amp;EDATE(C$5,1))+COUNTIFS(Cronograma!$B$6:$B$53,$A8,Cronograma!$Q$6:$Q$53,"&gt;="&amp;C$5,Cronograma!$Q$6:$Q$53,"&lt;"&amp;EDATE(C$5,1))+COUNTIFS(Cronograma!$B$6:$B$53,$A8,Cronograma!$R$6:$R$53,"&gt;="&amp;C$5,Cronograma!$R$6:$R$53,"&lt;"&amp;EDATE(C$5,1))+COUNTIFS(Cronograma!$B$6:$B$53,$A8,Cronograma!$S$6:$S$53,"&gt;="&amp;C$5,Cronograma!$S$6:$S$53,"&lt;"&amp;EDATE(C$5,1))</f>
        <v>0</v>
      </c>
      <c r="D8" s="25" t="n">
        <f aca="false">COUNTIFS(Cronograma!$B$6:$B$53,$A8,Cronograma!$N$6:$N$53,"&gt;="&amp;D$5,Cronograma!$N$6:$N$53,"&lt;"&amp;EDATE(D$5,1))+COUNTIFS(Cronograma!$B$6:$B$53,$A8,Cronograma!$Q$6:$Q$53,"&gt;="&amp;D$5,Cronograma!$Q$6:$Q$53,"&lt;"&amp;EDATE(D$5,1))+COUNTIFS(Cronograma!$B$6:$B$53,$A8,Cronograma!$R$6:$R$53,"&gt;="&amp;D$5,Cronograma!$R$6:$R$53,"&lt;"&amp;EDATE(D$5,1))+COUNTIFS(Cronograma!$B$6:$B$53,$A8,Cronograma!$S$6:$S$53,"&gt;="&amp;D$5,Cronograma!$S$6:$S$53,"&lt;"&amp;EDATE(D$5,1))</f>
        <v>2</v>
      </c>
      <c r="E8" s="25" t="n">
        <f aca="false">COUNTIFS(Cronograma!$B$6:$B$53,$A8,Cronograma!$N$6:$N$53,"&gt;="&amp;E$5,Cronograma!$N$6:$N$53,"&lt;"&amp;EDATE(E$5,1))+COUNTIFS(Cronograma!$B$6:$B$53,$A8,Cronograma!$Q$6:$Q$53,"&gt;="&amp;E$5,Cronograma!$Q$6:$Q$53,"&lt;"&amp;EDATE(E$5,1))+COUNTIFS(Cronograma!$B$6:$B$53,$A8,Cronograma!$R$6:$R$53,"&gt;="&amp;E$5,Cronograma!$R$6:$R$53,"&lt;"&amp;EDATE(E$5,1))+COUNTIFS(Cronograma!$B$6:$B$53,$A8,Cronograma!$S$6:$S$53,"&gt;="&amp;E$5,Cronograma!$S$6:$S$53,"&lt;"&amp;EDATE(E$5,1))</f>
        <v>0</v>
      </c>
      <c r="F8" s="25" t="n">
        <f aca="false">COUNTIFS(Cronograma!$B$6:$B$53,$A8,Cronograma!$N$6:$N$53,"&gt;="&amp;F$5,Cronograma!$N$6:$N$53,"&lt;"&amp;EDATE(F$5,1))+COUNTIFS(Cronograma!$B$6:$B$53,$A8,Cronograma!$Q$6:$Q$53,"&gt;="&amp;F$5,Cronograma!$Q$6:$Q$53,"&lt;"&amp;EDATE(F$5,1))+COUNTIFS(Cronograma!$B$6:$B$53,$A8,Cronograma!$R$6:$R$53,"&gt;="&amp;F$5,Cronograma!$R$6:$R$53,"&lt;"&amp;EDATE(F$5,1))+COUNTIFS(Cronograma!$B$6:$B$53,$A8,Cronograma!$S$6:$S$53,"&gt;="&amp;F$5,Cronograma!$S$6:$S$53,"&lt;"&amp;EDATE(F$5,1))</f>
        <v>1</v>
      </c>
      <c r="G8" s="25" t="n">
        <f aca="false">COUNTIFS(Cronograma!$B$6:$B$53,$A8,Cronograma!$N$6:$N$53,"&gt;="&amp;G$5,Cronograma!$N$6:$N$53,"&lt;"&amp;EDATE(G$5,1))+COUNTIFS(Cronograma!$B$6:$B$53,$A8,Cronograma!$Q$6:$Q$53,"&gt;="&amp;G$5,Cronograma!$Q$6:$Q$53,"&lt;"&amp;EDATE(G$5,1))+COUNTIFS(Cronograma!$B$6:$B$53,$A8,Cronograma!$R$6:$R$53,"&gt;="&amp;G$5,Cronograma!$R$6:$R$53,"&lt;"&amp;EDATE(G$5,1))+COUNTIFS(Cronograma!$B$6:$B$53,$A8,Cronograma!$S$6:$S$53,"&gt;="&amp;G$5,Cronograma!$S$6:$S$53,"&lt;"&amp;EDATE(G$5,1))</f>
        <v>1</v>
      </c>
      <c r="H8" s="25" t="n">
        <f aca="false">COUNTIFS(Cronograma!$B$6:$B$53,$A8,Cronograma!$N$6:$N$53,"&gt;="&amp;H$5,Cronograma!$N$6:$N$53,"&lt;"&amp;EDATE(H$5,1))+COUNTIFS(Cronograma!$B$6:$B$53,$A8,Cronograma!$Q$6:$Q$53,"&gt;="&amp;H$5,Cronograma!$Q$6:$Q$53,"&lt;"&amp;EDATE(H$5,1))+COUNTIFS(Cronograma!$B$6:$B$53,$A8,Cronograma!$R$6:$R$53,"&gt;="&amp;H$5,Cronograma!$R$6:$R$53,"&lt;"&amp;EDATE(H$5,1))+COUNTIFS(Cronograma!$B$6:$B$53,$A8,Cronograma!$S$6:$S$53,"&gt;="&amp;H$5,Cronograma!$S$6:$S$53,"&lt;"&amp;EDATE(H$5,1))</f>
        <v>1</v>
      </c>
      <c r="I8" s="25" t="n">
        <f aca="false">COUNTIFS(Cronograma!$B$6:$B$53,$A8,Cronograma!$N$6:$N$53,"&gt;="&amp;I$5,Cronograma!$N$6:$N$53,"&lt;"&amp;EDATE(I$5,1))+COUNTIFS(Cronograma!$B$6:$B$53,$A8,Cronograma!$Q$6:$Q$53,"&gt;="&amp;I$5,Cronograma!$Q$6:$Q$53,"&lt;"&amp;EDATE(I$5,1))+COUNTIFS(Cronograma!$B$6:$B$53,$A8,Cronograma!$R$6:$R$53,"&gt;="&amp;I$5,Cronograma!$R$6:$R$53,"&lt;"&amp;EDATE(I$5,1))+COUNTIFS(Cronograma!$B$6:$B$53,$A8,Cronograma!$S$6:$S$53,"&gt;="&amp;I$5,Cronograma!$S$6:$S$53,"&lt;"&amp;EDATE(I$5,1))</f>
        <v>0</v>
      </c>
      <c r="J8" s="25" t="n">
        <f aca="false">COUNTIFS(Cronograma!$B$6:$B$53,$A8,Cronograma!$N$6:$N$53,"&gt;="&amp;J$5,Cronograma!$N$6:$N$53,"&lt;"&amp;EDATE(J$5,1))+COUNTIFS(Cronograma!$B$6:$B$53,$A8,Cronograma!$Q$6:$Q$53,"&gt;="&amp;J$5,Cronograma!$Q$6:$Q$53,"&lt;"&amp;EDATE(J$5,1))+COUNTIFS(Cronograma!$B$6:$B$53,$A8,Cronograma!$R$6:$R$53,"&gt;="&amp;J$5,Cronograma!$R$6:$R$53,"&lt;"&amp;EDATE(J$5,1))+COUNTIFS(Cronograma!$B$6:$B$53,$A8,Cronograma!$S$6:$S$53,"&gt;="&amp;J$5,Cronograma!$S$6:$S$53,"&lt;"&amp;EDATE(J$5,1))</f>
        <v>2</v>
      </c>
      <c r="K8" s="25" t="n">
        <f aca="false">COUNTIFS(Cronograma!$B$6:$B$53,$A8,Cronograma!$N$6:$N$53,"&gt;="&amp;K$5,Cronograma!$N$6:$N$53,"&lt;"&amp;EDATE(K$5,1))+COUNTIFS(Cronograma!$B$6:$B$53,$A8,Cronograma!$Q$6:$Q$53,"&gt;="&amp;K$5,Cronograma!$Q$6:$Q$53,"&lt;"&amp;EDATE(K$5,1))+COUNTIFS(Cronograma!$B$6:$B$53,$A8,Cronograma!$R$6:$R$53,"&gt;="&amp;K$5,Cronograma!$R$6:$R$53,"&lt;"&amp;EDATE(K$5,1))+COUNTIFS(Cronograma!$B$6:$B$53,$A8,Cronograma!$S$6:$S$53,"&gt;="&amp;K$5,Cronograma!$S$6:$S$53,"&lt;"&amp;EDATE(K$5,1))</f>
        <v>0</v>
      </c>
      <c r="L8" s="25" t="n">
        <f aca="false">COUNTIFS(Cronograma!$B$6:$B$53,$A8,Cronograma!$N$6:$N$53,"&gt;="&amp;L$5,Cronograma!$N$6:$N$53,"&lt;"&amp;EDATE(L$5,1))+COUNTIFS(Cronograma!$B$6:$B$53,$A8,Cronograma!$Q$6:$Q$53,"&gt;="&amp;L$5,Cronograma!$Q$6:$Q$53,"&lt;"&amp;EDATE(L$5,1))+COUNTIFS(Cronograma!$B$6:$B$53,$A8,Cronograma!$R$6:$R$53,"&gt;="&amp;L$5,Cronograma!$R$6:$R$53,"&lt;"&amp;EDATE(L$5,1))+COUNTIFS(Cronograma!$B$6:$B$53,$A8,Cronograma!$S$6:$S$53,"&gt;="&amp;L$5,Cronograma!$S$6:$S$53,"&lt;"&amp;EDATE(L$5,1))</f>
        <v>1</v>
      </c>
      <c r="M8" s="25" t="n">
        <f aca="false">COUNTIFS(Cronograma!$B$6:$B$53,$A8,Cronograma!$N$6:$N$53,"&gt;="&amp;M$5,Cronograma!$N$6:$N$53,"&lt;"&amp;EDATE(M$5,1))+COUNTIFS(Cronograma!$B$6:$B$53,$A8,Cronograma!$Q$6:$Q$53,"&gt;="&amp;M$5,Cronograma!$Q$6:$Q$53,"&lt;"&amp;EDATE(M$5,1))+COUNTIFS(Cronograma!$B$6:$B$53,$A8,Cronograma!$R$6:$R$53,"&gt;="&amp;M$5,Cronograma!$R$6:$R$53,"&lt;"&amp;EDATE(M$5,1))+COUNTIFS(Cronograma!$B$6:$B$53,$A8,Cronograma!$S$6:$S$53,"&gt;="&amp;M$5,Cronograma!$S$6:$S$53,"&lt;"&amp;EDATE(M$5,1))</f>
        <v>1</v>
      </c>
      <c r="N8" s="25" t="n">
        <f aca="false">COUNTIFS(Cronograma!$B$6:$B$53,$A8,Cronograma!$N$6:$N$53,"&gt;="&amp;N$5,Cronograma!$N$6:$N$53,"&lt;"&amp;EDATE(N$5,1))+COUNTIFS(Cronograma!$B$6:$B$53,$A8,Cronograma!$Q$6:$Q$53,"&gt;="&amp;N$5,Cronograma!$Q$6:$Q$53,"&lt;"&amp;EDATE(N$5,1))+COUNTIFS(Cronograma!$B$6:$B$53,$A8,Cronograma!$R$6:$R$53,"&gt;="&amp;N$5,Cronograma!$R$6:$R$53,"&lt;"&amp;EDATE(N$5,1))+COUNTIFS(Cronograma!$B$6:$B$53,$A8,Cronograma!$S$6:$S$53,"&gt;="&amp;N$5,Cronograma!$S$6:$S$53,"&lt;"&amp;EDATE(N$5,1))</f>
        <v>1</v>
      </c>
      <c r="O8" s="25" t="n">
        <f aca="false">COUNTIFS(Cronograma!$B$6:$B$53,$A8,Cronograma!$N$6:$N$53,"&gt;="&amp;O$5,Cronograma!$N$6:$N$53,"&lt;"&amp;EDATE(O$5,1))+COUNTIFS(Cronograma!$B$6:$B$53,$A8,Cronograma!$Q$6:$Q$53,"&gt;="&amp;O$5,Cronograma!$Q$6:$Q$53,"&lt;"&amp;EDATE(O$5,1))+COUNTIFS(Cronograma!$B$6:$B$53,$A8,Cronograma!$R$6:$R$53,"&gt;="&amp;O$5,Cronograma!$R$6:$R$53,"&lt;"&amp;EDATE(O$5,1))+COUNTIFS(Cronograma!$B$6:$B$53,$A8,Cronograma!$S$6:$S$53,"&gt;="&amp;O$5,Cronograma!$S$6:$S$53,"&lt;"&amp;EDATE(O$5,1))</f>
        <v>0</v>
      </c>
      <c r="P8" s="25" t="n">
        <f aca="false">COUNTIFS(Cronograma!$B$6:$B$53,$A8,Cronograma!$N$6:$N$53,"&gt;="&amp;P$5,Cronograma!$N$6:$N$53,"&lt;"&amp;EDATE(P$5,1))+COUNTIFS(Cronograma!$B$6:$B$53,$A8,Cronograma!$Q$6:$Q$53,"&gt;="&amp;P$5,Cronograma!$Q$6:$Q$53,"&lt;"&amp;EDATE(P$5,1))+COUNTIFS(Cronograma!$B$6:$B$53,$A8,Cronograma!$R$6:$R$53,"&gt;="&amp;P$5,Cronograma!$R$6:$R$53,"&lt;"&amp;EDATE(P$5,1))+COUNTIFS(Cronograma!$B$6:$B$53,$A8,Cronograma!$S$6:$S$53,"&gt;="&amp;P$5,Cronograma!$S$6:$S$53,"&lt;"&amp;EDATE(P$5,1))</f>
        <v>2</v>
      </c>
      <c r="Q8" s="25" t="n">
        <f aca="false">COUNTIFS(Cronograma!$B$6:$B$53,$A8,Cronograma!$N$6:$N$53,"&gt;="&amp;Q$5,Cronograma!$N$6:$N$53,"&lt;"&amp;EDATE(Q$5,1))+COUNTIFS(Cronograma!$B$6:$B$53,$A8,Cronograma!$Q$6:$Q$53,"&gt;="&amp;Q$5,Cronograma!$Q$6:$Q$53,"&lt;"&amp;EDATE(Q$5,1))+COUNTIFS(Cronograma!$B$6:$B$53,$A8,Cronograma!$R$6:$R$53,"&gt;="&amp;Q$5,Cronograma!$R$6:$R$53,"&lt;"&amp;EDATE(Q$5,1))+COUNTIFS(Cronograma!$B$6:$B$53,$A8,Cronograma!$S$6:$S$53,"&gt;="&amp;Q$5,Cronograma!$S$6:$S$53,"&lt;"&amp;EDATE(Q$5,1))</f>
        <v>0</v>
      </c>
      <c r="R8" s="25" t="n">
        <f aca="false">COUNTIFS(Cronograma!$B$6:$B$53,$A8,Cronograma!$N$6:$N$53,"&gt;="&amp;R$5,Cronograma!$N$6:$N$53,"&lt;"&amp;EDATE(R$5,1))+COUNTIFS(Cronograma!$B$6:$B$53,$A8,Cronograma!$Q$6:$Q$53,"&gt;="&amp;R$5,Cronograma!$Q$6:$Q$53,"&lt;"&amp;EDATE(R$5,1))+COUNTIFS(Cronograma!$B$6:$B$53,$A8,Cronograma!$R$6:$R$53,"&gt;="&amp;R$5,Cronograma!$R$6:$R$53,"&lt;"&amp;EDATE(R$5,1))+COUNTIFS(Cronograma!$B$6:$B$53,$A8,Cronograma!$S$6:$S$53,"&gt;="&amp;R$5,Cronograma!$S$6:$S$53,"&lt;"&amp;EDATE(R$5,1))</f>
        <v>1</v>
      </c>
      <c r="S8" s="25" t="n">
        <f aca="false">COUNTIFS(Cronograma!$B$6:$B$53,$A8,Cronograma!$N$6:$N$53,"&gt;="&amp;S$5,Cronograma!$N$6:$N$53,"&lt;"&amp;EDATE(S$5,1))+COUNTIFS(Cronograma!$B$6:$B$53,$A8,Cronograma!$Q$6:$Q$53,"&gt;="&amp;S$5,Cronograma!$Q$6:$Q$53,"&lt;"&amp;EDATE(S$5,1))+COUNTIFS(Cronograma!$B$6:$B$53,$A8,Cronograma!$R$6:$R$53,"&gt;="&amp;S$5,Cronograma!$R$6:$R$53,"&lt;"&amp;EDATE(S$5,1))+COUNTIFS(Cronograma!$B$6:$B$53,$A8,Cronograma!$S$6:$S$53,"&gt;="&amp;S$5,Cronograma!$S$6:$S$53,"&lt;"&amp;EDATE(S$5,1))</f>
        <v>1</v>
      </c>
      <c r="T8" s="25" t="n">
        <f aca="false">COUNTIFS(Cronograma!$B$6:$B$53,$A8,Cronograma!$N$6:$N$53,"&gt;="&amp;T$5,Cronograma!$N$6:$N$53,"&lt;"&amp;EDATE(T$5,1))+COUNTIFS(Cronograma!$B$6:$B$53,$A8,Cronograma!$Q$6:$Q$53,"&gt;="&amp;T$5,Cronograma!$Q$6:$Q$53,"&lt;"&amp;EDATE(T$5,1))+COUNTIFS(Cronograma!$B$6:$B$53,$A8,Cronograma!$R$6:$R$53,"&gt;="&amp;T$5,Cronograma!$R$6:$R$53,"&lt;"&amp;EDATE(T$5,1))+COUNTIFS(Cronograma!$B$6:$B$53,$A8,Cronograma!$S$6:$S$53,"&gt;="&amp;T$5,Cronograma!$S$6:$S$53,"&lt;"&amp;EDATE(T$5,1))</f>
        <v>1</v>
      </c>
      <c r="U8" s="25" t="n">
        <f aca="false">COUNTIFS(Cronograma!$B$6:$B$53,$A8,Cronograma!$N$6:$N$53,"&gt;="&amp;U$5,Cronograma!$N$6:$N$53,"&lt;"&amp;EDATE(U$5,1))+COUNTIFS(Cronograma!$B$6:$B$53,$A8,Cronograma!$Q$6:$Q$53,"&gt;="&amp;U$5,Cronograma!$Q$6:$Q$53,"&lt;"&amp;EDATE(U$5,1))+COUNTIFS(Cronograma!$B$6:$B$53,$A8,Cronograma!$R$6:$R$53,"&gt;="&amp;U$5,Cronograma!$R$6:$R$53,"&lt;"&amp;EDATE(U$5,1))+COUNTIFS(Cronograma!$B$6:$B$53,$A8,Cronograma!$S$6:$S$53,"&gt;="&amp;U$5,Cronograma!$S$6:$S$53,"&lt;"&amp;EDATE(U$5,1))</f>
        <v>0</v>
      </c>
      <c r="V8" s="25" t="n">
        <f aca="false">COUNTIFS(Cronograma!$B$6:$B$53,$A8,Cronograma!$N$6:$N$53,"&gt;="&amp;V$5,Cronograma!$N$6:$N$53,"&lt;"&amp;EDATE(V$5,1))+COUNTIFS(Cronograma!$B$6:$B$53,$A8,Cronograma!$Q$6:$Q$53,"&gt;="&amp;V$5,Cronograma!$Q$6:$Q$53,"&lt;"&amp;EDATE(V$5,1))+COUNTIFS(Cronograma!$B$6:$B$53,$A8,Cronograma!$R$6:$R$53,"&gt;="&amp;V$5,Cronograma!$R$6:$R$53,"&lt;"&amp;EDATE(V$5,1))+COUNTIFS(Cronograma!$B$6:$B$53,$A8,Cronograma!$S$6:$S$53,"&gt;="&amp;V$5,Cronograma!$S$6:$S$53,"&lt;"&amp;EDATE(V$5,1))</f>
        <v>2</v>
      </c>
      <c r="W8" s="25" t="n">
        <f aca="false">COUNTIFS(Cronograma!$B$6:$B$53,$A8,Cronograma!$N$6:$N$53,"&gt;="&amp;W$5,Cronograma!$N$6:$N$53,"&lt;"&amp;EDATE(W$5,1))+COUNTIFS(Cronograma!$B$6:$B$53,$A8,Cronograma!$Q$6:$Q$53,"&gt;="&amp;W$5,Cronograma!$Q$6:$Q$53,"&lt;"&amp;EDATE(W$5,1))+COUNTIFS(Cronograma!$B$6:$B$53,$A8,Cronograma!$R$6:$R$53,"&gt;="&amp;W$5,Cronograma!$R$6:$R$53,"&lt;"&amp;EDATE(W$5,1))+COUNTIFS(Cronograma!$B$6:$B$53,$A8,Cronograma!$S$6:$S$53,"&gt;="&amp;W$5,Cronograma!$S$6:$S$53,"&lt;"&amp;EDATE(W$5,1))</f>
        <v>0</v>
      </c>
      <c r="X8" s="25" t="n">
        <f aca="false">COUNTIFS(Cronograma!$B$6:$B$53,$A8,Cronograma!$N$6:$N$53,"&gt;="&amp;X$5,Cronograma!$N$6:$N$53,"&lt;"&amp;EDATE(X$5,1))+COUNTIFS(Cronograma!$B$6:$B$53,$A8,Cronograma!$Q$6:$Q$53,"&gt;="&amp;X$5,Cronograma!$Q$6:$Q$53,"&lt;"&amp;EDATE(X$5,1))+COUNTIFS(Cronograma!$B$6:$B$53,$A8,Cronograma!$R$6:$R$53,"&gt;="&amp;X$5,Cronograma!$R$6:$R$53,"&lt;"&amp;EDATE(X$5,1))+COUNTIFS(Cronograma!$B$6:$B$53,$A8,Cronograma!$S$6:$S$53,"&gt;="&amp;X$5,Cronograma!$S$6:$S$53,"&lt;"&amp;EDATE(X$5,1))</f>
        <v>1</v>
      </c>
      <c r="Y8" s="25" t="n">
        <f aca="false">COUNTIFS(Cronograma!$B$6:$B$53,$A8,Cronograma!$N$6:$N$53,"&gt;="&amp;Y$5,Cronograma!$N$6:$N$53,"&lt;"&amp;EDATE(Y$5,1))+COUNTIFS(Cronograma!$B$6:$B$53,$A8,Cronograma!$Q$6:$Q$53,"&gt;="&amp;Y$5,Cronograma!$Q$6:$Q$53,"&lt;"&amp;EDATE(Y$5,1))+COUNTIFS(Cronograma!$B$6:$B$53,$A8,Cronograma!$R$6:$R$53,"&gt;="&amp;Y$5,Cronograma!$R$6:$R$53,"&lt;"&amp;EDATE(Y$5,1))+COUNTIFS(Cronograma!$B$6:$B$53,$A8,Cronograma!$S$6:$S$53,"&gt;="&amp;Y$5,Cronograma!$S$6:$S$53,"&lt;"&amp;EDATE(Y$5,1))</f>
        <v>1</v>
      </c>
      <c r="Z8" s="4" t="n">
        <f aca="false">SUM(B8:Y8)</f>
        <v>20</v>
      </c>
    </row>
    <row r="9" customFormat="false" ht="15" hidden="false" customHeight="false" outlineLevel="0" collapsed="false">
      <c r="A9" s="26" t="s">
        <v>207</v>
      </c>
      <c r="B9" s="4" t="n">
        <f aca="false">SUM(B6:B8)</f>
        <v>29</v>
      </c>
      <c r="C9" s="4" t="n">
        <f aca="false">SUM(C6:C8)</f>
        <v>0</v>
      </c>
      <c r="D9" s="4" t="n">
        <f aca="false">SUM(D6:D8)</f>
        <v>6</v>
      </c>
      <c r="E9" s="4" t="n">
        <f aca="false">SUM(E6:E8)</f>
        <v>2</v>
      </c>
      <c r="F9" s="4" t="n">
        <f aca="false">SUM(F6:F8)</f>
        <v>6</v>
      </c>
      <c r="G9" s="4" t="n">
        <f aca="false">SUM(G6:G8)</f>
        <v>5</v>
      </c>
      <c r="H9" s="4" t="n">
        <f aca="false">SUM(H6:H8)</f>
        <v>29</v>
      </c>
      <c r="I9" s="4" t="n">
        <f aca="false">SUM(I6:I8)</f>
        <v>0</v>
      </c>
      <c r="J9" s="4" t="n">
        <f aca="false">SUM(J6:J8)</f>
        <v>6</v>
      </c>
      <c r="K9" s="4" t="n">
        <f aca="false">SUM(K6:K8)</f>
        <v>2</v>
      </c>
      <c r="L9" s="4" t="n">
        <f aca="false">SUM(L6:L8)</f>
        <v>6</v>
      </c>
      <c r="M9" s="4" t="n">
        <f aca="false">SUM(M6:M8)</f>
        <v>5</v>
      </c>
      <c r="N9" s="4" t="n">
        <f aca="false">SUM(N6:N8)</f>
        <v>29</v>
      </c>
      <c r="O9" s="4" t="n">
        <f aca="false">SUM(O6:O8)</f>
        <v>0</v>
      </c>
      <c r="P9" s="4" t="n">
        <f aca="false">SUM(P6:P8)</f>
        <v>6</v>
      </c>
      <c r="Q9" s="4" t="n">
        <f aca="false">SUM(Q6:Q8)</f>
        <v>2</v>
      </c>
      <c r="R9" s="4" t="n">
        <f aca="false">SUM(R6:R8)</f>
        <v>6</v>
      </c>
      <c r="S9" s="4" t="n">
        <f aca="false">SUM(S6:S8)</f>
        <v>5</v>
      </c>
      <c r="T9" s="4" t="n">
        <f aca="false">SUM(T6:T8)</f>
        <v>29</v>
      </c>
      <c r="U9" s="4" t="n">
        <f aca="false">SUM(U6:U8)</f>
        <v>0</v>
      </c>
      <c r="V9" s="4" t="n">
        <f aca="false">SUM(V6:V8)</f>
        <v>6</v>
      </c>
      <c r="W9" s="4" t="n">
        <f aca="false">SUM(W6:W8)</f>
        <v>2</v>
      </c>
      <c r="X9" s="4" t="n">
        <f aca="false">SUM(X6:X8)</f>
        <v>6</v>
      </c>
      <c r="Y9" s="4" t="n">
        <f aca="false">SUM(Y6:Y8)</f>
        <v>5</v>
      </c>
      <c r="Z9" s="4" t="n">
        <f aca="false">SUM(Z6:Z8)</f>
        <v>192</v>
      </c>
    </row>
    <row r="12" customFormat="false" ht="15" hidden="false" customHeight="false" outlineLevel="0" collapsed="false">
      <c r="A12" s="6" t="s">
        <v>208</v>
      </c>
      <c r="B12" s="7"/>
      <c r="C12" s="7"/>
      <c r="D12" s="7"/>
      <c r="E12" s="7"/>
      <c r="F12" s="7"/>
      <c r="G12" s="7"/>
      <c r="H12" s="7"/>
      <c r="I12" s="7"/>
      <c r="J12" s="7"/>
      <c r="K12" s="7"/>
      <c r="L12" s="7"/>
      <c r="M12" s="7"/>
      <c r="N12" s="7"/>
      <c r="O12" s="7"/>
      <c r="P12" s="7"/>
      <c r="Q12" s="7"/>
      <c r="R12" s="7"/>
      <c r="S12" s="7"/>
      <c r="T12" s="7"/>
      <c r="U12" s="7"/>
      <c r="V12" s="7"/>
      <c r="W12" s="7"/>
      <c r="X12" s="7"/>
      <c r="Y12" s="7"/>
      <c r="Z12" s="7"/>
    </row>
    <row r="13" customFormat="false" ht="15" hidden="false" customHeight="false" outlineLevel="0" collapsed="false">
      <c r="A13" s="21" t="s">
        <v>206</v>
      </c>
      <c r="B13" s="22" t="n">
        <v>46296</v>
      </c>
      <c r="C13" s="22" t="n">
        <f aca="false">EDATE(B13,1)</f>
        <v>46327</v>
      </c>
      <c r="D13" s="22" t="n">
        <f aca="false">EDATE(C13,1)</f>
        <v>46357</v>
      </c>
      <c r="E13" s="22" t="n">
        <f aca="false">EDATE(D13,1)</f>
        <v>46388</v>
      </c>
      <c r="F13" s="22" t="n">
        <f aca="false">EDATE(E13,1)</f>
        <v>46419</v>
      </c>
      <c r="G13" s="22" t="n">
        <f aca="false">EDATE(F13,1)</f>
        <v>46447</v>
      </c>
      <c r="H13" s="22" t="n">
        <f aca="false">EDATE(G13,1)</f>
        <v>46478</v>
      </c>
      <c r="I13" s="22" t="n">
        <f aca="false">EDATE(H13,1)</f>
        <v>46508</v>
      </c>
      <c r="J13" s="22" t="n">
        <f aca="false">EDATE(I13,1)</f>
        <v>46539</v>
      </c>
      <c r="K13" s="22" t="n">
        <f aca="false">EDATE(J13,1)</f>
        <v>46569</v>
      </c>
      <c r="L13" s="22" t="n">
        <f aca="false">EDATE(K13,1)</f>
        <v>46600</v>
      </c>
      <c r="M13" s="22" t="n">
        <f aca="false">EDATE(L13,1)</f>
        <v>46631</v>
      </c>
      <c r="N13" s="22" t="n">
        <f aca="false">EDATE(M13,1)</f>
        <v>46661</v>
      </c>
      <c r="O13" s="22" t="n">
        <f aca="false">EDATE(N13,1)</f>
        <v>46692</v>
      </c>
      <c r="P13" s="22" t="n">
        <f aca="false">EDATE(O13,1)</f>
        <v>46722</v>
      </c>
      <c r="Q13" s="22" t="n">
        <f aca="false">EDATE(P13,1)</f>
        <v>46753</v>
      </c>
      <c r="R13" s="22" t="n">
        <f aca="false">EDATE(Q13,1)</f>
        <v>46784</v>
      </c>
      <c r="S13" s="22" t="n">
        <f aca="false">EDATE(R13,1)</f>
        <v>46813</v>
      </c>
      <c r="T13" s="22" t="n">
        <f aca="false">EDATE(S13,1)</f>
        <v>46844</v>
      </c>
      <c r="U13" s="22" t="n">
        <f aca="false">EDATE(T13,1)</f>
        <v>46874</v>
      </c>
      <c r="V13" s="22" t="n">
        <f aca="false">EDATE(U13,1)</f>
        <v>46905</v>
      </c>
      <c r="W13" s="22" t="n">
        <f aca="false">EDATE(V13,1)</f>
        <v>46935</v>
      </c>
      <c r="X13" s="22" t="n">
        <f aca="false">EDATE(W13,1)</f>
        <v>46966</v>
      </c>
      <c r="Y13" s="22" t="n">
        <f aca="false">EDATE(X13,1)</f>
        <v>46997</v>
      </c>
      <c r="Z13" s="23" t="s">
        <v>207</v>
      </c>
    </row>
    <row r="14" customFormat="false" ht="15" hidden="false" customHeight="false" outlineLevel="0" collapsed="false">
      <c r="A14" s="24" t="s">
        <v>59</v>
      </c>
      <c r="B14" s="25" t="n">
        <f aca="false">COUNTIFS(Cronograma!$C$6:$C$53,$A14,Cronograma!$N$6:$N$53,"&gt;="&amp;B$13,Cronograma!$N$6:$N$53,"&lt;"&amp;EDATE(B$13,1))+COUNTIFS(Cronograma!$C$6:$C$53,$A14,Cronograma!$Q$6:$Q$53,"&gt;="&amp;B$13,Cronograma!$Q$6:$Q$53,"&lt;"&amp;EDATE(B$13,1))+COUNTIFS(Cronograma!$C$6:$C$53,$A14,Cronograma!$R$6:$R$53,"&gt;="&amp;B$13,Cronograma!$R$6:$R$53,"&lt;"&amp;EDATE(B$13,1))+COUNTIFS(Cronograma!$C$6:$C$53,$A14,Cronograma!$S$6:$S$53,"&gt;="&amp;B$13,Cronograma!$S$6:$S$53,"&lt;"&amp;EDATE(B$13,1))</f>
        <v>1</v>
      </c>
      <c r="C14" s="25" t="n">
        <f aca="false">COUNTIFS(Cronograma!$C$6:$C$53,$A14,Cronograma!$N$6:$N$53,"&gt;="&amp;C$13,Cronograma!$N$6:$N$53,"&lt;"&amp;EDATE(C$13,1))+COUNTIFS(Cronograma!$C$6:$C$53,$A14,Cronograma!$Q$6:$Q$53,"&gt;="&amp;C$13,Cronograma!$Q$6:$Q$53,"&lt;"&amp;EDATE(C$13,1))+COUNTIFS(Cronograma!$C$6:$C$53,$A14,Cronograma!$R$6:$R$53,"&gt;="&amp;C$13,Cronograma!$R$6:$R$53,"&lt;"&amp;EDATE(C$13,1))+COUNTIFS(Cronograma!$C$6:$C$53,$A14,Cronograma!$S$6:$S$53,"&gt;="&amp;C$13,Cronograma!$S$6:$S$53,"&lt;"&amp;EDATE(C$13,1))</f>
        <v>0</v>
      </c>
      <c r="D14" s="25" t="n">
        <f aca="false">COUNTIFS(Cronograma!$C$6:$C$53,$A14,Cronograma!$N$6:$N$53,"&gt;="&amp;D$13,Cronograma!$N$6:$N$53,"&lt;"&amp;EDATE(D$13,1))+COUNTIFS(Cronograma!$C$6:$C$53,$A14,Cronograma!$Q$6:$Q$53,"&gt;="&amp;D$13,Cronograma!$Q$6:$Q$53,"&lt;"&amp;EDATE(D$13,1))+COUNTIFS(Cronograma!$C$6:$C$53,$A14,Cronograma!$R$6:$R$53,"&gt;="&amp;D$13,Cronograma!$R$6:$R$53,"&lt;"&amp;EDATE(D$13,1))+COUNTIFS(Cronograma!$C$6:$C$53,$A14,Cronograma!$S$6:$S$53,"&gt;="&amp;D$13,Cronograma!$S$6:$S$53,"&lt;"&amp;EDATE(D$13,1))</f>
        <v>0</v>
      </c>
      <c r="E14" s="25" t="n">
        <f aca="false">COUNTIFS(Cronograma!$C$6:$C$53,$A14,Cronograma!$N$6:$N$53,"&gt;="&amp;E$13,Cronograma!$N$6:$N$53,"&lt;"&amp;EDATE(E$13,1))+COUNTIFS(Cronograma!$C$6:$C$53,$A14,Cronograma!$Q$6:$Q$53,"&gt;="&amp;E$13,Cronograma!$Q$6:$Q$53,"&lt;"&amp;EDATE(E$13,1))+COUNTIFS(Cronograma!$C$6:$C$53,$A14,Cronograma!$R$6:$R$53,"&gt;="&amp;E$13,Cronograma!$R$6:$R$53,"&lt;"&amp;EDATE(E$13,1))+COUNTIFS(Cronograma!$C$6:$C$53,$A14,Cronograma!$S$6:$S$53,"&gt;="&amp;E$13,Cronograma!$S$6:$S$53,"&lt;"&amp;EDATE(E$13,1))</f>
        <v>0</v>
      </c>
      <c r="F14" s="25" t="n">
        <f aca="false">COUNTIFS(Cronograma!$C$6:$C$53,$A14,Cronograma!$N$6:$N$53,"&gt;="&amp;F$13,Cronograma!$N$6:$N$53,"&lt;"&amp;EDATE(F$13,1))+COUNTIFS(Cronograma!$C$6:$C$53,$A14,Cronograma!$Q$6:$Q$53,"&gt;="&amp;F$13,Cronograma!$Q$6:$Q$53,"&lt;"&amp;EDATE(F$13,1))+COUNTIFS(Cronograma!$C$6:$C$53,$A14,Cronograma!$R$6:$R$53,"&gt;="&amp;F$13,Cronograma!$R$6:$R$53,"&lt;"&amp;EDATE(F$13,1))+COUNTIFS(Cronograma!$C$6:$C$53,$A14,Cronograma!$S$6:$S$53,"&gt;="&amp;F$13,Cronograma!$S$6:$S$53,"&lt;"&amp;EDATE(F$13,1))</f>
        <v>0</v>
      </c>
      <c r="G14" s="25" t="n">
        <f aca="false">COUNTIFS(Cronograma!$C$6:$C$53,$A14,Cronograma!$N$6:$N$53,"&gt;="&amp;G$13,Cronograma!$N$6:$N$53,"&lt;"&amp;EDATE(G$13,1))+COUNTIFS(Cronograma!$C$6:$C$53,$A14,Cronograma!$Q$6:$Q$53,"&gt;="&amp;G$13,Cronograma!$Q$6:$Q$53,"&lt;"&amp;EDATE(G$13,1))+COUNTIFS(Cronograma!$C$6:$C$53,$A14,Cronograma!$R$6:$R$53,"&gt;="&amp;G$13,Cronograma!$R$6:$R$53,"&lt;"&amp;EDATE(G$13,1))+COUNTIFS(Cronograma!$C$6:$C$53,$A14,Cronograma!$S$6:$S$53,"&gt;="&amp;G$13,Cronograma!$S$6:$S$53,"&lt;"&amp;EDATE(G$13,1))</f>
        <v>0</v>
      </c>
      <c r="H14" s="25" t="n">
        <f aca="false">COUNTIFS(Cronograma!$C$6:$C$53,$A14,Cronograma!$N$6:$N$53,"&gt;="&amp;H$13,Cronograma!$N$6:$N$53,"&lt;"&amp;EDATE(H$13,1))+COUNTIFS(Cronograma!$C$6:$C$53,$A14,Cronograma!$Q$6:$Q$53,"&gt;="&amp;H$13,Cronograma!$Q$6:$Q$53,"&lt;"&amp;EDATE(H$13,1))+COUNTIFS(Cronograma!$C$6:$C$53,$A14,Cronograma!$R$6:$R$53,"&gt;="&amp;H$13,Cronograma!$R$6:$R$53,"&lt;"&amp;EDATE(H$13,1))+COUNTIFS(Cronograma!$C$6:$C$53,$A14,Cronograma!$S$6:$S$53,"&gt;="&amp;H$13,Cronograma!$S$6:$S$53,"&lt;"&amp;EDATE(H$13,1))</f>
        <v>1</v>
      </c>
      <c r="I14" s="25" t="n">
        <f aca="false">COUNTIFS(Cronograma!$C$6:$C$53,$A14,Cronograma!$N$6:$N$53,"&gt;="&amp;I$13,Cronograma!$N$6:$N$53,"&lt;"&amp;EDATE(I$13,1))+COUNTIFS(Cronograma!$C$6:$C$53,$A14,Cronograma!$Q$6:$Q$53,"&gt;="&amp;I$13,Cronograma!$Q$6:$Q$53,"&lt;"&amp;EDATE(I$13,1))+COUNTIFS(Cronograma!$C$6:$C$53,$A14,Cronograma!$R$6:$R$53,"&gt;="&amp;I$13,Cronograma!$R$6:$R$53,"&lt;"&amp;EDATE(I$13,1))+COUNTIFS(Cronograma!$C$6:$C$53,$A14,Cronograma!$S$6:$S$53,"&gt;="&amp;I$13,Cronograma!$S$6:$S$53,"&lt;"&amp;EDATE(I$13,1))</f>
        <v>0</v>
      </c>
      <c r="J14" s="25" t="n">
        <f aca="false">COUNTIFS(Cronograma!$C$6:$C$53,$A14,Cronograma!$N$6:$N$53,"&gt;="&amp;J$13,Cronograma!$N$6:$N$53,"&lt;"&amp;EDATE(J$13,1))+COUNTIFS(Cronograma!$C$6:$C$53,$A14,Cronograma!$Q$6:$Q$53,"&gt;="&amp;J$13,Cronograma!$Q$6:$Q$53,"&lt;"&amp;EDATE(J$13,1))+COUNTIFS(Cronograma!$C$6:$C$53,$A14,Cronograma!$R$6:$R$53,"&gt;="&amp;J$13,Cronograma!$R$6:$R$53,"&lt;"&amp;EDATE(J$13,1))+COUNTIFS(Cronograma!$C$6:$C$53,$A14,Cronograma!$S$6:$S$53,"&gt;="&amp;J$13,Cronograma!$S$6:$S$53,"&lt;"&amp;EDATE(J$13,1))</f>
        <v>0</v>
      </c>
      <c r="K14" s="25" t="n">
        <f aca="false">COUNTIFS(Cronograma!$C$6:$C$53,$A14,Cronograma!$N$6:$N$53,"&gt;="&amp;K$13,Cronograma!$N$6:$N$53,"&lt;"&amp;EDATE(K$13,1))+COUNTIFS(Cronograma!$C$6:$C$53,$A14,Cronograma!$Q$6:$Q$53,"&gt;="&amp;K$13,Cronograma!$Q$6:$Q$53,"&lt;"&amp;EDATE(K$13,1))+COUNTIFS(Cronograma!$C$6:$C$53,$A14,Cronograma!$R$6:$R$53,"&gt;="&amp;K$13,Cronograma!$R$6:$R$53,"&lt;"&amp;EDATE(K$13,1))+COUNTIFS(Cronograma!$C$6:$C$53,$A14,Cronograma!$S$6:$S$53,"&gt;="&amp;K$13,Cronograma!$S$6:$S$53,"&lt;"&amp;EDATE(K$13,1))</f>
        <v>0</v>
      </c>
      <c r="L14" s="25" t="n">
        <f aca="false">COUNTIFS(Cronograma!$C$6:$C$53,$A14,Cronograma!$N$6:$N$53,"&gt;="&amp;L$13,Cronograma!$N$6:$N$53,"&lt;"&amp;EDATE(L$13,1))+COUNTIFS(Cronograma!$C$6:$C$53,$A14,Cronograma!$Q$6:$Q$53,"&gt;="&amp;L$13,Cronograma!$Q$6:$Q$53,"&lt;"&amp;EDATE(L$13,1))+COUNTIFS(Cronograma!$C$6:$C$53,$A14,Cronograma!$R$6:$R$53,"&gt;="&amp;L$13,Cronograma!$R$6:$R$53,"&lt;"&amp;EDATE(L$13,1))+COUNTIFS(Cronograma!$C$6:$C$53,$A14,Cronograma!$S$6:$S$53,"&gt;="&amp;L$13,Cronograma!$S$6:$S$53,"&lt;"&amp;EDATE(L$13,1))</f>
        <v>0</v>
      </c>
      <c r="M14" s="25" t="n">
        <f aca="false">COUNTIFS(Cronograma!$C$6:$C$53,$A14,Cronograma!$N$6:$N$53,"&gt;="&amp;M$13,Cronograma!$N$6:$N$53,"&lt;"&amp;EDATE(M$13,1))+COUNTIFS(Cronograma!$C$6:$C$53,$A14,Cronograma!$Q$6:$Q$53,"&gt;="&amp;M$13,Cronograma!$Q$6:$Q$53,"&lt;"&amp;EDATE(M$13,1))+COUNTIFS(Cronograma!$C$6:$C$53,$A14,Cronograma!$R$6:$R$53,"&gt;="&amp;M$13,Cronograma!$R$6:$R$53,"&lt;"&amp;EDATE(M$13,1))+COUNTIFS(Cronograma!$C$6:$C$53,$A14,Cronograma!$S$6:$S$53,"&gt;="&amp;M$13,Cronograma!$S$6:$S$53,"&lt;"&amp;EDATE(M$13,1))</f>
        <v>0</v>
      </c>
      <c r="N14" s="25" t="n">
        <f aca="false">COUNTIFS(Cronograma!$C$6:$C$53,$A14,Cronograma!$N$6:$N$53,"&gt;="&amp;N$13,Cronograma!$N$6:$N$53,"&lt;"&amp;EDATE(N$13,1))+COUNTIFS(Cronograma!$C$6:$C$53,$A14,Cronograma!$Q$6:$Q$53,"&gt;="&amp;N$13,Cronograma!$Q$6:$Q$53,"&lt;"&amp;EDATE(N$13,1))+COUNTIFS(Cronograma!$C$6:$C$53,$A14,Cronograma!$R$6:$R$53,"&gt;="&amp;N$13,Cronograma!$R$6:$R$53,"&lt;"&amp;EDATE(N$13,1))+COUNTIFS(Cronograma!$C$6:$C$53,$A14,Cronograma!$S$6:$S$53,"&gt;="&amp;N$13,Cronograma!$S$6:$S$53,"&lt;"&amp;EDATE(N$13,1))</f>
        <v>1</v>
      </c>
      <c r="O14" s="25" t="n">
        <f aca="false">COUNTIFS(Cronograma!$C$6:$C$53,$A14,Cronograma!$N$6:$N$53,"&gt;="&amp;O$13,Cronograma!$N$6:$N$53,"&lt;"&amp;EDATE(O$13,1))+COUNTIFS(Cronograma!$C$6:$C$53,$A14,Cronograma!$Q$6:$Q$53,"&gt;="&amp;O$13,Cronograma!$Q$6:$Q$53,"&lt;"&amp;EDATE(O$13,1))+COUNTIFS(Cronograma!$C$6:$C$53,$A14,Cronograma!$R$6:$R$53,"&gt;="&amp;O$13,Cronograma!$R$6:$R$53,"&lt;"&amp;EDATE(O$13,1))+COUNTIFS(Cronograma!$C$6:$C$53,$A14,Cronograma!$S$6:$S$53,"&gt;="&amp;O$13,Cronograma!$S$6:$S$53,"&lt;"&amp;EDATE(O$13,1))</f>
        <v>0</v>
      </c>
      <c r="P14" s="25" t="n">
        <f aca="false">COUNTIFS(Cronograma!$C$6:$C$53,$A14,Cronograma!$N$6:$N$53,"&gt;="&amp;P$13,Cronograma!$N$6:$N$53,"&lt;"&amp;EDATE(P$13,1))+COUNTIFS(Cronograma!$C$6:$C$53,$A14,Cronograma!$Q$6:$Q$53,"&gt;="&amp;P$13,Cronograma!$Q$6:$Q$53,"&lt;"&amp;EDATE(P$13,1))+COUNTIFS(Cronograma!$C$6:$C$53,$A14,Cronograma!$R$6:$R$53,"&gt;="&amp;P$13,Cronograma!$R$6:$R$53,"&lt;"&amp;EDATE(P$13,1))+COUNTIFS(Cronograma!$C$6:$C$53,$A14,Cronograma!$S$6:$S$53,"&gt;="&amp;P$13,Cronograma!$S$6:$S$53,"&lt;"&amp;EDATE(P$13,1))</f>
        <v>0</v>
      </c>
      <c r="Q14" s="25" t="n">
        <f aca="false">COUNTIFS(Cronograma!$C$6:$C$53,$A14,Cronograma!$N$6:$N$53,"&gt;="&amp;Q$13,Cronograma!$N$6:$N$53,"&lt;"&amp;EDATE(Q$13,1))+COUNTIFS(Cronograma!$C$6:$C$53,$A14,Cronograma!$Q$6:$Q$53,"&gt;="&amp;Q$13,Cronograma!$Q$6:$Q$53,"&lt;"&amp;EDATE(Q$13,1))+COUNTIFS(Cronograma!$C$6:$C$53,$A14,Cronograma!$R$6:$R$53,"&gt;="&amp;Q$13,Cronograma!$R$6:$R$53,"&lt;"&amp;EDATE(Q$13,1))+COUNTIFS(Cronograma!$C$6:$C$53,$A14,Cronograma!$S$6:$S$53,"&gt;="&amp;Q$13,Cronograma!$S$6:$S$53,"&lt;"&amp;EDATE(Q$13,1))</f>
        <v>0</v>
      </c>
      <c r="R14" s="25" t="n">
        <f aca="false">COUNTIFS(Cronograma!$C$6:$C$53,$A14,Cronograma!$N$6:$N$53,"&gt;="&amp;R$13,Cronograma!$N$6:$N$53,"&lt;"&amp;EDATE(R$13,1))+COUNTIFS(Cronograma!$C$6:$C$53,$A14,Cronograma!$Q$6:$Q$53,"&gt;="&amp;R$13,Cronograma!$Q$6:$Q$53,"&lt;"&amp;EDATE(R$13,1))+COUNTIFS(Cronograma!$C$6:$C$53,$A14,Cronograma!$R$6:$R$53,"&gt;="&amp;R$13,Cronograma!$R$6:$R$53,"&lt;"&amp;EDATE(R$13,1))+COUNTIFS(Cronograma!$C$6:$C$53,$A14,Cronograma!$S$6:$S$53,"&gt;="&amp;R$13,Cronograma!$S$6:$S$53,"&lt;"&amp;EDATE(R$13,1))</f>
        <v>0</v>
      </c>
      <c r="S14" s="25" t="n">
        <f aca="false">COUNTIFS(Cronograma!$C$6:$C$53,$A14,Cronograma!$N$6:$N$53,"&gt;="&amp;S$13,Cronograma!$N$6:$N$53,"&lt;"&amp;EDATE(S$13,1))+COUNTIFS(Cronograma!$C$6:$C$53,$A14,Cronograma!$Q$6:$Q$53,"&gt;="&amp;S$13,Cronograma!$Q$6:$Q$53,"&lt;"&amp;EDATE(S$13,1))+COUNTIFS(Cronograma!$C$6:$C$53,$A14,Cronograma!$R$6:$R$53,"&gt;="&amp;S$13,Cronograma!$R$6:$R$53,"&lt;"&amp;EDATE(S$13,1))+COUNTIFS(Cronograma!$C$6:$C$53,$A14,Cronograma!$S$6:$S$53,"&gt;="&amp;S$13,Cronograma!$S$6:$S$53,"&lt;"&amp;EDATE(S$13,1))</f>
        <v>0</v>
      </c>
      <c r="T14" s="25" t="n">
        <f aca="false">COUNTIFS(Cronograma!$C$6:$C$53,$A14,Cronograma!$N$6:$N$53,"&gt;="&amp;T$13,Cronograma!$N$6:$N$53,"&lt;"&amp;EDATE(T$13,1))+COUNTIFS(Cronograma!$C$6:$C$53,$A14,Cronograma!$Q$6:$Q$53,"&gt;="&amp;T$13,Cronograma!$Q$6:$Q$53,"&lt;"&amp;EDATE(T$13,1))+COUNTIFS(Cronograma!$C$6:$C$53,$A14,Cronograma!$R$6:$R$53,"&gt;="&amp;T$13,Cronograma!$R$6:$R$53,"&lt;"&amp;EDATE(T$13,1))+COUNTIFS(Cronograma!$C$6:$C$53,$A14,Cronograma!$S$6:$S$53,"&gt;="&amp;T$13,Cronograma!$S$6:$S$53,"&lt;"&amp;EDATE(T$13,1))</f>
        <v>1</v>
      </c>
      <c r="U14" s="25" t="n">
        <f aca="false">COUNTIFS(Cronograma!$C$6:$C$53,$A14,Cronograma!$N$6:$N$53,"&gt;="&amp;U$13,Cronograma!$N$6:$N$53,"&lt;"&amp;EDATE(U$13,1))+COUNTIFS(Cronograma!$C$6:$C$53,$A14,Cronograma!$Q$6:$Q$53,"&gt;="&amp;U$13,Cronograma!$Q$6:$Q$53,"&lt;"&amp;EDATE(U$13,1))+COUNTIFS(Cronograma!$C$6:$C$53,$A14,Cronograma!$R$6:$R$53,"&gt;="&amp;U$13,Cronograma!$R$6:$R$53,"&lt;"&amp;EDATE(U$13,1))+COUNTIFS(Cronograma!$C$6:$C$53,$A14,Cronograma!$S$6:$S$53,"&gt;="&amp;U$13,Cronograma!$S$6:$S$53,"&lt;"&amp;EDATE(U$13,1))</f>
        <v>0</v>
      </c>
      <c r="V14" s="25" t="n">
        <f aca="false">COUNTIFS(Cronograma!$C$6:$C$53,$A14,Cronograma!$N$6:$N$53,"&gt;="&amp;V$13,Cronograma!$N$6:$N$53,"&lt;"&amp;EDATE(V$13,1))+COUNTIFS(Cronograma!$C$6:$C$53,$A14,Cronograma!$Q$6:$Q$53,"&gt;="&amp;V$13,Cronograma!$Q$6:$Q$53,"&lt;"&amp;EDATE(V$13,1))+COUNTIFS(Cronograma!$C$6:$C$53,$A14,Cronograma!$R$6:$R$53,"&gt;="&amp;V$13,Cronograma!$R$6:$R$53,"&lt;"&amp;EDATE(V$13,1))+COUNTIFS(Cronograma!$C$6:$C$53,$A14,Cronograma!$S$6:$S$53,"&gt;="&amp;V$13,Cronograma!$S$6:$S$53,"&lt;"&amp;EDATE(V$13,1))</f>
        <v>0</v>
      </c>
      <c r="W14" s="25" t="n">
        <f aca="false">COUNTIFS(Cronograma!$C$6:$C$53,$A14,Cronograma!$N$6:$N$53,"&gt;="&amp;W$13,Cronograma!$N$6:$N$53,"&lt;"&amp;EDATE(W$13,1))+COUNTIFS(Cronograma!$C$6:$C$53,$A14,Cronograma!$Q$6:$Q$53,"&gt;="&amp;W$13,Cronograma!$Q$6:$Q$53,"&lt;"&amp;EDATE(W$13,1))+COUNTIFS(Cronograma!$C$6:$C$53,$A14,Cronograma!$R$6:$R$53,"&gt;="&amp;W$13,Cronograma!$R$6:$R$53,"&lt;"&amp;EDATE(W$13,1))+COUNTIFS(Cronograma!$C$6:$C$53,$A14,Cronograma!$S$6:$S$53,"&gt;="&amp;W$13,Cronograma!$S$6:$S$53,"&lt;"&amp;EDATE(W$13,1))</f>
        <v>0</v>
      </c>
      <c r="X14" s="25" t="n">
        <f aca="false">COUNTIFS(Cronograma!$C$6:$C$53,$A14,Cronograma!$N$6:$N$53,"&gt;="&amp;X$13,Cronograma!$N$6:$N$53,"&lt;"&amp;EDATE(X$13,1))+COUNTIFS(Cronograma!$C$6:$C$53,$A14,Cronograma!$Q$6:$Q$53,"&gt;="&amp;X$13,Cronograma!$Q$6:$Q$53,"&lt;"&amp;EDATE(X$13,1))+COUNTIFS(Cronograma!$C$6:$C$53,$A14,Cronograma!$R$6:$R$53,"&gt;="&amp;X$13,Cronograma!$R$6:$R$53,"&lt;"&amp;EDATE(X$13,1))+COUNTIFS(Cronograma!$C$6:$C$53,$A14,Cronograma!$S$6:$S$53,"&gt;="&amp;X$13,Cronograma!$S$6:$S$53,"&lt;"&amp;EDATE(X$13,1))</f>
        <v>0</v>
      </c>
      <c r="Y14" s="25" t="n">
        <f aca="false">COUNTIFS(Cronograma!$C$6:$C$53,$A14,Cronograma!$N$6:$N$53,"&gt;="&amp;Y$13,Cronograma!$N$6:$N$53,"&lt;"&amp;EDATE(Y$13,1))+COUNTIFS(Cronograma!$C$6:$C$53,$A14,Cronograma!$Q$6:$Q$53,"&gt;="&amp;Y$13,Cronograma!$Q$6:$Q$53,"&lt;"&amp;EDATE(Y$13,1))+COUNTIFS(Cronograma!$C$6:$C$53,$A14,Cronograma!$R$6:$R$53,"&gt;="&amp;Y$13,Cronograma!$R$6:$R$53,"&lt;"&amp;EDATE(Y$13,1))+COUNTIFS(Cronograma!$C$6:$C$53,$A14,Cronograma!$S$6:$S$53,"&gt;="&amp;Y$13,Cronograma!$S$6:$S$53,"&lt;"&amp;EDATE(Y$13,1))</f>
        <v>0</v>
      </c>
      <c r="Z14" s="4" t="n">
        <f aca="false">SUM(B14:Y14)</f>
        <v>4</v>
      </c>
    </row>
    <row r="15" customFormat="false" ht="15" hidden="false" customHeight="false" outlineLevel="0" collapsed="false">
      <c r="A15" s="24" t="s">
        <v>65</v>
      </c>
      <c r="B15" s="25" t="n">
        <f aca="false">COUNTIFS(Cronograma!$C$6:$C$53,$A15,Cronograma!$N$6:$N$53,"&gt;="&amp;B$13,Cronograma!$N$6:$N$53,"&lt;"&amp;EDATE(B$13,1))+COUNTIFS(Cronograma!$C$6:$C$53,$A15,Cronograma!$Q$6:$Q$53,"&gt;="&amp;B$13,Cronograma!$Q$6:$Q$53,"&lt;"&amp;EDATE(B$13,1))+COUNTIFS(Cronograma!$C$6:$C$53,$A15,Cronograma!$R$6:$R$53,"&gt;="&amp;B$13,Cronograma!$R$6:$R$53,"&lt;"&amp;EDATE(B$13,1))+COUNTIFS(Cronograma!$C$6:$C$53,$A15,Cronograma!$S$6:$S$53,"&gt;="&amp;B$13,Cronograma!$S$6:$S$53,"&lt;"&amp;EDATE(B$13,1))</f>
        <v>1</v>
      </c>
      <c r="C15" s="25" t="n">
        <f aca="false">COUNTIFS(Cronograma!$C$6:$C$53,$A15,Cronograma!$N$6:$N$53,"&gt;="&amp;C$13,Cronograma!$N$6:$N$53,"&lt;"&amp;EDATE(C$13,1))+COUNTIFS(Cronograma!$C$6:$C$53,$A15,Cronograma!$Q$6:$Q$53,"&gt;="&amp;C$13,Cronograma!$Q$6:$Q$53,"&lt;"&amp;EDATE(C$13,1))+COUNTIFS(Cronograma!$C$6:$C$53,$A15,Cronograma!$R$6:$R$53,"&gt;="&amp;C$13,Cronograma!$R$6:$R$53,"&lt;"&amp;EDATE(C$13,1))+COUNTIFS(Cronograma!$C$6:$C$53,$A15,Cronograma!$S$6:$S$53,"&gt;="&amp;C$13,Cronograma!$S$6:$S$53,"&lt;"&amp;EDATE(C$13,1))</f>
        <v>0</v>
      </c>
      <c r="D15" s="25" t="n">
        <f aca="false">COUNTIFS(Cronograma!$C$6:$C$53,$A15,Cronograma!$N$6:$N$53,"&gt;="&amp;D$13,Cronograma!$N$6:$N$53,"&lt;"&amp;EDATE(D$13,1))+COUNTIFS(Cronograma!$C$6:$C$53,$A15,Cronograma!$Q$6:$Q$53,"&gt;="&amp;D$13,Cronograma!$Q$6:$Q$53,"&lt;"&amp;EDATE(D$13,1))+COUNTIFS(Cronograma!$C$6:$C$53,$A15,Cronograma!$R$6:$R$53,"&gt;="&amp;D$13,Cronograma!$R$6:$R$53,"&lt;"&amp;EDATE(D$13,1))+COUNTIFS(Cronograma!$C$6:$C$53,$A15,Cronograma!$S$6:$S$53,"&gt;="&amp;D$13,Cronograma!$S$6:$S$53,"&lt;"&amp;EDATE(D$13,1))</f>
        <v>0</v>
      </c>
      <c r="E15" s="25" t="n">
        <f aca="false">COUNTIFS(Cronograma!$C$6:$C$53,$A15,Cronograma!$N$6:$N$53,"&gt;="&amp;E$13,Cronograma!$N$6:$N$53,"&lt;"&amp;EDATE(E$13,1))+COUNTIFS(Cronograma!$C$6:$C$53,$A15,Cronograma!$Q$6:$Q$53,"&gt;="&amp;E$13,Cronograma!$Q$6:$Q$53,"&lt;"&amp;EDATE(E$13,1))+COUNTIFS(Cronograma!$C$6:$C$53,$A15,Cronograma!$R$6:$R$53,"&gt;="&amp;E$13,Cronograma!$R$6:$R$53,"&lt;"&amp;EDATE(E$13,1))+COUNTIFS(Cronograma!$C$6:$C$53,$A15,Cronograma!$S$6:$S$53,"&gt;="&amp;E$13,Cronograma!$S$6:$S$53,"&lt;"&amp;EDATE(E$13,1))</f>
        <v>0</v>
      </c>
      <c r="F15" s="25" t="n">
        <f aca="false">COUNTIFS(Cronograma!$C$6:$C$53,$A15,Cronograma!$N$6:$N$53,"&gt;="&amp;F$13,Cronograma!$N$6:$N$53,"&lt;"&amp;EDATE(F$13,1))+COUNTIFS(Cronograma!$C$6:$C$53,$A15,Cronograma!$Q$6:$Q$53,"&gt;="&amp;F$13,Cronograma!$Q$6:$Q$53,"&lt;"&amp;EDATE(F$13,1))+COUNTIFS(Cronograma!$C$6:$C$53,$A15,Cronograma!$R$6:$R$53,"&gt;="&amp;F$13,Cronograma!$R$6:$R$53,"&lt;"&amp;EDATE(F$13,1))+COUNTIFS(Cronograma!$C$6:$C$53,$A15,Cronograma!$S$6:$S$53,"&gt;="&amp;F$13,Cronograma!$S$6:$S$53,"&lt;"&amp;EDATE(F$13,1))</f>
        <v>0</v>
      </c>
      <c r="G15" s="25" t="n">
        <f aca="false">COUNTIFS(Cronograma!$C$6:$C$53,$A15,Cronograma!$N$6:$N$53,"&gt;="&amp;G$13,Cronograma!$N$6:$N$53,"&lt;"&amp;EDATE(G$13,1))+COUNTIFS(Cronograma!$C$6:$C$53,$A15,Cronograma!$Q$6:$Q$53,"&gt;="&amp;G$13,Cronograma!$Q$6:$Q$53,"&lt;"&amp;EDATE(G$13,1))+COUNTIFS(Cronograma!$C$6:$C$53,$A15,Cronograma!$R$6:$R$53,"&gt;="&amp;G$13,Cronograma!$R$6:$R$53,"&lt;"&amp;EDATE(G$13,1))+COUNTIFS(Cronograma!$C$6:$C$53,$A15,Cronograma!$S$6:$S$53,"&gt;="&amp;G$13,Cronograma!$S$6:$S$53,"&lt;"&amp;EDATE(G$13,1))</f>
        <v>0</v>
      </c>
      <c r="H15" s="25" t="n">
        <f aca="false">COUNTIFS(Cronograma!$C$6:$C$53,$A15,Cronograma!$N$6:$N$53,"&gt;="&amp;H$13,Cronograma!$N$6:$N$53,"&lt;"&amp;EDATE(H$13,1))+COUNTIFS(Cronograma!$C$6:$C$53,$A15,Cronograma!$Q$6:$Q$53,"&gt;="&amp;H$13,Cronograma!$Q$6:$Q$53,"&lt;"&amp;EDATE(H$13,1))+COUNTIFS(Cronograma!$C$6:$C$53,$A15,Cronograma!$R$6:$R$53,"&gt;="&amp;H$13,Cronograma!$R$6:$R$53,"&lt;"&amp;EDATE(H$13,1))+COUNTIFS(Cronograma!$C$6:$C$53,$A15,Cronograma!$S$6:$S$53,"&gt;="&amp;H$13,Cronograma!$S$6:$S$53,"&lt;"&amp;EDATE(H$13,1))</f>
        <v>1</v>
      </c>
      <c r="I15" s="25" t="n">
        <f aca="false">COUNTIFS(Cronograma!$C$6:$C$53,$A15,Cronograma!$N$6:$N$53,"&gt;="&amp;I$13,Cronograma!$N$6:$N$53,"&lt;"&amp;EDATE(I$13,1))+COUNTIFS(Cronograma!$C$6:$C$53,$A15,Cronograma!$Q$6:$Q$53,"&gt;="&amp;I$13,Cronograma!$Q$6:$Q$53,"&lt;"&amp;EDATE(I$13,1))+COUNTIFS(Cronograma!$C$6:$C$53,$A15,Cronograma!$R$6:$R$53,"&gt;="&amp;I$13,Cronograma!$R$6:$R$53,"&lt;"&amp;EDATE(I$13,1))+COUNTIFS(Cronograma!$C$6:$C$53,$A15,Cronograma!$S$6:$S$53,"&gt;="&amp;I$13,Cronograma!$S$6:$S$53,"&lt;"&amp;EDATE(I$13,1))</f>
        <v>0</v>
      </c>
      <c r="J15" s="25" t="n">
        <f aca="false">COUNTIFS(Cronograma!$C$6:$C$53,$A15,Cronograma!$N$6:$N$53,"&gt;="&amp;J$13,Cronograma!$N$6:$N$53,"&lt;"&amp;EDATE(J$13,1))+COUNTIFS(Cronograma!$C$6:$C$53,$A15,Cronograma!$Q$6:$Q$53,"&gt;="&amp;J$13,Cronograma!$Q$6:$Q$53,"&lt;"&amp;EDATE(J$13,1))+COUNTIFS(Cronograma!$C$6:$C$53,$A15,Cronograma!$R$6:$R$53,"&gt;="&amp;J$13,Cronograma!$R$6:$R$53,"&lt;"&amp;EDATE(J$13,1))+COUNTIFS(Cronograma!$C$6:$C$53,$A15,Cronograma!$S$6:$S$53,"&gt;="&amp;J$13,Cronograma!$S$6:$S$53,"&lt;"&amp;EDATE(J$13,1))</f>
        <v>0</v>
      </c>
      <c r="K15" s="25" t="n">
        <f aca="false">COUNTIFS(Cronograma!$C$6:$C$53,$A15,Cronograma!$N$6:$N$53,"&gt;="&amp;K$13,Cronograma!$N$6:$N$53,"&lt;"&amp;EDATE(K$13,1))+COUNTIFS(Cronograma!$C$6:$C$53,$A15,Cronograma!$Q$6:$Q$53,"&gt;="&amp;K$13,Cronograma!$Q$6:$Q$53,"&lt;"&amp;EDATE(K$13,1))+COUNTIFS(Cronograma!$C$6:$C$53,$A15,Cronograma!$R$6:$R$53,"&gt;="&amp;K$13,Cronograma!$R$6:$R$53,"&lt;"&amp;EDATE(K$13,1))+COUNTIFS(Cronograma!$C$6:$C$53,$A15,Cronograma!$S$6:$S$53,"&gt;="&amp;K$13,Cronograma!$S$6:$S$53,"&lt;"&amp;EDATE(K$13,1))</f>
        <v>0</v>
      </c>
      <c r="L15" s="25" t="n">
        <f aca="false">COUNTIFS(Cronograma!$C$6:$C$53,$A15,Cronograma!$N$6:$N$53,"&gt;="&amp;L$13,Cronograma!$N$6:$N$53,"&lt;"&amp;EDATE(L$13,1))+COUNTIFS(Cronograma!$C$6:$C$53,$A15,Cronograma!$Q$6:$Q$53,"&gt;="&amp;L$13,Cronograma!$Q$6:$Q$53,"&lt;"&amp;EDATE(L$13,1))+COUNTIFS(Cronograma!$C$6:$C$53,$A15,Cronograma!$R$6:$R$53,"&gt;="&amp;L$13,Cronograma!$R$6:$R$53,"&lt;"&amp;EDATE(L$13,1))+COUNTIFS(Cronograma!$C$6:$C$53,$A15,Cronograma!$S$6:$S$53,"&gt;="&amp;L$13,Cronograma!$S$6:$S$53,"&lt;"&amp;EDATE(L$13,1))</f>
        <v>0</v>
      </c>
      <c r="M15" s="25" t="n">
        <f aca="false">COUNTIFS(Cronograma!$C$6:$C$53,$A15,Cronograma!$N$6:$N$53,"&gt;="&amp;M$13,Cronograma!$N$6:$N$53,"&lt;"&amp;EDATE(M$13,1))+COUNTIFS(Cronograma!$C$6:$C$53,$A15,Cronograma!$Q$6:$Q$53,"&gt;="&amp;M$13,Cronograma!$Q$6:$Q$53,"&lt;"&amp;EDATE(M$13,1))+COUNTIFS(Cronograma!$C$6:$C$53,$A15,Cronograma!$R$6:$R$53,"&gt;="&amp;M$13,Cronograma!$R$6:$R$53,"&lt;"&amp;EDATE(M$13,1))+COUNTIFS(Cronograma!$C$6:$C$53,$A15,Cronograma!$S$6:$S$53,"&gt;="&amp;M$13,Cronograma!$S$6:$S$53,"&lt;"&amp;EDATE(M$13,1))</f>
        <v>0</v>
      </c>
      <c r="N15" s="25" t="n">
        <f aca="false">COUNTIFS(Cronograma!$C$6:$C$53,$A15,Cronograma!$N$6:$N$53,"&gt;="&amp;N$13,Cronograma!$N$6:$N$53,"&lt;"&amp;EDATE(N$13,1))+COUNTIFS(Cronograma!$C$6:$C$53,$A15,Cronograma!$Q$6:$Q$53,"&gt;="&amp;N$13,Cronograma!$Q$6:$Q$53,"&lt;"&amp;EDATE(N$13,1))+COUNTIFS(Cronograma!$C$6:$C$53,$A15,Cronograma!$R$6:$R$53,"&gt;="&amp;N$13,Cronograma!$R$6:$R$53,"&lt;"&amp;EDATE(N$13,1))+COUNTIFS(Cronograma!$C$6:$C$53,$A15,Cronograma!$S$6:$S$53,"&gt;="&amp;N$13,Cronograma!$S$6:$S$53,"&lt;"&amp;EDATE(N$13,1))</f>
        <v>1</v>
      </c>
      <c r="O15" s="25" t="n">
        <f aca="false">COUNTIFS(Cronograma!$C$6:$C$53,$A15,Cronograma!$N$6:$N$53,"&gt;="&amp;O$13,Cronograma!$N$6:$N$53,"&lt;"&amp;EDATE(O$13,1))+COUNTIFS(Cronograma!$C$6:$C$53,$A15,Cronograma!$Q$6:$Q$53,"&gt;="&amp;O$13,Cronograma!$Q$6:$Q$53,"&lt;"&amp;EDATE(O$13,1))+COUNTIFS(Cronograma!$C$6:$C$53,$A15,Cronograma!$R$6:$R$53,"&gt;="&amp;O$13,Cronograma!$R$6:$R$53,"&lt;"&amp;EDATE(O$13,1))+COUNTIFS(Cronograma!$C$6:$C$53,$A15,Cronograma!$S$6:$S$53,"&gt;="&amp;O$13,Cronograma!$S$6:$S$53,"&lt;"&amp;EDATE(O$13,1))</f>
        <v>0</v>
      </c>
      <c r="P15" s="25" t="n">
        <f aca="false">COUNTIFS(Cronograma!$C$6:$C$53,$A15,Cronograma!$N$6:$N$53,"&gt;="&amp;P$13,Cronograma!$N$6:$N$53,"&lt;"&amp;EDATE(P$13,1))+COUNTIFS(Cronograma!$C$6:$C$53,$A15,Cronograma!$Q$6:$Q$53,"&gt;="&amp;P$13,Cronograma!$Q$6:$Q$53,"&lt;"&amp;EDATE(P$13,1))+COUNTIFS(Cronograma!$C$6:$C$53,$A15,Cronograma!$R$6:$R$53,"&gt;="&amp;P$13,Cronograma!$R$6:$R$53,"&lt;"&amp;EDATE(P$13,1))+COUNTIFS(Cronograma!$C$6:$C$53,$A15,Cronograma!$S$6:$S$53,"&gt;="&amp;P$13,Cronograma!$S$6:$S$53,"&lt;"&amp;EDATE(P$13,1))</f>
        <v>0</v>
      </c>
      <c r="Q15" s="25" t="n">
        <f aca="false">COUNTIFS(Cronograma!$C$6:$C$53,$A15,Cronograma!$N$6:$N$53,"&gt;="&amp;Q$13,Cronograma!$N$6:$N$53,"&lt;"&amp;EDATE(Q$13,1))+COUNTIFS(Cronograma!$C$6:$C$53,$A15,Cronograma!$Q$6:$Q$53,"&gt;="&amp;Q$13,Cronograma!$Q$6:$Q$53,"&lt;"&amp;EDATE(Q$13,1))+COUNTIFS(Cronograma!$C$6:$C$53,$A15,Cronograma!$R$6:$R$53,"&gt;="&amp;Q$13,Cronograma!$R$6:$R$53,"&lt;"&amp;EDATE(Q$13,1))+COUNTIFS(Cronograma!$C$6:$C$53,$A15,Cronograma!$S$6:$S$53,"&gt;="&amp;Q$13,Cronograma!$S$6:$S$53,"&lt;"&amp;EDATE(Q$13,1))</f>
        <v>0</v>
      </c>
      <c r="R15" s="25" t="n">
        <f aca="false">COUNTIFS(Cronograma!$C$6:$C$53,$A15,Cronograma!$N$6:$N$53,"&gt;="&amp;R$13,Cronograma!$N$6:$N$53,"&lt;"&amp;EDATE(R$13,1))+COUNTIFS(Cronograma!$C$6:$C$53,$A15,Cronograma!$Q$6:$Q$53,"&gt;="&amp;R$13,Cronograma!$Q$6:$Q$53,"&lt;"&amp;EDATE(R$13,1))+COUNTIFS(Cronograma!$C$6:$C$53,$A15,Cronograma!$R$6:$R$53,"&gt;="&amp;R$13,Cronograma!$R$6:$R$53,"&lt;"&amp;EDATE(R$13,1))+COUNTIFS(Cronograma!$C$6:$C$53,$A15,Cronograma!$S$6:$S$53,"&gt;="&amp;R$13,Cronograma!$S$6:$S$53,"&lt;"&amp;EDATE(R$13,1))</f>
        <v>0</v>
      </c>
      <c r="S15" s="25" t="n">
        <f aca="false">COUNTIFS(Cronograma!$C$6:$C$53,$A15,Cronograma!$N$6:$N$53,"&gt;="&amp;S$13,Cronograma!$N$6:$N$53,"&lt;"&amp;EDATE(S$13,1))+COUNTIFS(Cronograma!$C$6:$C$53,$A15,Cronograma!$Q$6:$Q$53,"&gt;="&amp;S$13,Cronograma!$Q$6:$Q$53,"&lt;"&amp;EDATE(S$13,1))+COUNTIFS(Cronograma!$C$6:$C$53,$A15,Cronograma!$R$6:$R$53,"&gt;="&amp;S$13,Cronograma!$R$6:$R$53,"&lt;"&amp;EDATE(S$13,1))+COUNTIFS(Cronograma!$C$6:$C$53,$A15,Cronograma!$S$6:$S$53,"&gt;="&amp;S$13,Cronograma!$S$6:$S$53,"&lt;"&amp;EDATE(S$13,1))</f>
        <v>0</v>
      </c>
      <c r="T15" s="25" t="n">
        <f aca="false">COUNTIFS(Cronograma!$C$6:$C$53,$A15,Cronograma!$N$6:$N$53,"&gt;="&amp;T$13,Cronograma!$N$6:$N$53,"&lt;"&amp;EDATE(T$13,1))+COUNTIFS(Cronograma!$C$6:$C$53,$A15,Cronograma!$Q$6:$Q$53,"&gt;="&amp;T$13,Cronograma!$Q$6:$Q$53,"&lt;"&amp;EDATE(T$13,1))+COUNTIFS(Cronograma!$C$6:$C$53,$A15,Cronograma!$R$6:$R$53,"&gt;="&amp;T$13,Cronograma!$R$6:$R$53,"&lt;"&amp;EDATE(T$13,1))+COUNTIFS(Cronograma!$C$6:$C$53,$A15,Cronograma!$S$6:$S$53,"&gt;="&amp;T$13,Cronograma!$S$6:$S$53,"&lt;"&amp;EDATE(T$13,1))</f>
        <v>1</v>
      </c>
      <c r="U15" s="25" t="n">
        <f aca="false">COUNTIFS(Cronograma!$C$6:$C$53,$A15,Cronograma!$N$6:$N$53,"&gt;="&amp;U$13,Cronograma!$N$6:$N$53,"&lt;"&amp;EDATE(U$13,1))+COUNTIFS(Cronograma!$C$6:$C$53,$A15,Cronograma!$Q$6:$Q$53,"&gt;="&amp;U$13,Cronograma!$Q$6:$Q$53,"&lt;"&amp;EDATE(U$13,1))+COUNTIFS(Cronograma!$C$6:$C$53,$A15,Cronograma!$R$6:$R$53,"&gt;="&amp;U$13,Cronograma!$R$6:$R$53,"&lt;"&amp;EDATE(U$13,1))+COUNTIFS(Cronograma!$C$6:$C$53,$A15,Cronograma!$S$6:$S$53,"&gt;="&amp;U$13,Cronograma!$S$6:$S$53,"&lt;"&amp;EDATE(U$13,1))</f>
        <v>0</v>
      </c>
      <c r="V15" s="25" t="n">
        <f aca="false">COUNTIFS(Cronograma!$C$6:$C$53,$A15,Cronograma!$N$6:$N$53,"&gt;="&amp;V$13,Cronograma!$N$6:$N$53,"&lt;"&amp;EDATE(V$13,1))+COUNTIFS(Cronograma!$C$6:$C$53,$A15,Cronograma!$Q$6:$Q$53,"&gt;="&amp;V$13,Cronograma!$Q$6:$Q$53,"&lt;"&amp;EDATE(V$13,1))+COUNTIFS(Cronograma!$C$6:$C$53,$A15,Cronograma!$R$6:$R$53,"&gt;="&amp;V$13,Cronograma!$R$6:$R$53,"&lt;"&amp;EDATE(V$13,1))+COUNTIFS(Cronograma!$C$6:$C$53,$A15,Cronograma!$S$6:$S$53,"&gt;="&amp;V$13,Cronograma!$S$6:$S$53,"&lt;"&amp;EDATE(V$13,1))</f>
        <v>0</v>
      </c>
      <c r="W15" s="25" t="n">
        <f aca="false">COUNTIFS(Cronograma!$C$6:$C$53,$A15,Cronograma!$N$6:$N$53,"&gt;="&amp;W$13,Cronograma!$N$6:$N$53,"&lt;"&amp;EDATE(W$13,1))+COUNTIFS(Cronograma!$C$6:$C$53,$A15,Cronograma!$Q$6:$Q$53,"&gt;="&amp;W$13,Cronograma!$Q$6:$Q$53,"&lt;"&amp;EDATE(W$13,1))+COUNTIFS(Cronograma!$C$6:$C$53,$A15,Cronograma!$R$6:$R$53,"&gt;="&amp;W$13,Cronograma!$R$6:$R$53,"&lt;"&amp;EDATE(W$13,1))+COUNTIFS(Cronograma!$C$6:$C$53,$A15,Cronograma!$S$6:$S$53,"&gt;="&amp;W$13,Cronograma!$S$6:$S$53,"&lt;"&amp;EDATE(W$13,1))</f>
        <v>0</v>
      </c>
      <c r="X15" s="25" t="n">
        <f aca="false">COUNTIFS(Cronograma!$C$6:$C$53,$A15,Cronograma!$N$6:$N$53,"&gt;="&amp;X$13,Cronograma!$N$6:$N$53,"&lt;"&amp;EDATE(X$13,1))+COUNTIFS(Cronograma!$C$6:$C$53,$A15,Cronograma!$Q$6:$Q$53,"&gt;="&amp;X$13,Cronograma!$Q$6:$Q$53,"&lt;"&amp;EDATE(X$13,1))+COUNTIFS(Cronograma!$C$6:$C$53,$A15,Cronograma!$R$6:$R$53,"&gt;="&amp;X$13,Cronograma!$R$6:$R$53,"&lt;"&amp;EDATE(X$13,1))+COUNTIFS(Cronograma!$C$6:$C$53,$A15,Cronograma!$S$6:$S$53,"&gt;="&amp;X$13,Cronograma!$S$6:$S$53,"&lt;"&amp;EDATE(X$13,1))</f>
        <v>0</v>
      </c>
      <c r="Y15" s="25" t="n">
        <f aca="false">COUNTIFS(Cronograma!$C$6:$C$53,$A15,Cronograma!$N$6:$N$53,"&gt;="&amp;Y$13,Cronograma!$N$6:$N$53,"&lt;"&amp;EDATE(Y$13,1))+COUNTIFS(Cronograma!$C$6:$C$53,$A15,Cronograma!$Q$6:$Q$53,"&gt;="&amp;Y$13,Cronograma!$Q$6:$Q$53,"&lt;"&amp;EDATE(Y$13,1))+COUNTIFS(Cronograma!$C$6:$C$53,$A15,Cronograma!$R$6:$R$53,"&gt;="&amp;Y$13,Cronograma!$R$6:$R$53,"&lt;"&amp;EDATE(Y$13,1))+COUNTIFS(Cronograma!$C$6:$C$53,$A15,Cronograma!$S$6:$S$53,"&gt;="&amp;Y$13,Cronograma!$S$6:$S$53,"&lt;"&amp;EDATE(Y$13,1))</f>
        <v>0</v>
      </c>
      <c r="Z15" s="4" t="n">
        <f aca="false">SUM(B15:Y15)</f>
        <v>4</v>
      </c>
    </row>
    <row r="16" customFormat="false" ht="15" hidden="false" customHeight="false" outlineLevel="0" collapsed="false">
      <c r="A16" s="24" t="s">
        <v>151</v>
      </c>
      <c r="B16" s="25" t="n">
        <f aca="false">COUNTIFS(Cronograma!$C$6:$C$53,$A16,Cronograma!$N$6:$N$53,"&gt;="&amp;B$13,Cronograma!$N$6:$N$53,"&lt;"&amp;EDATE(B$13,1))+COUNTIFS(Cronograma!$C$6:$C$53,$A16,Cronograma!$Q$6:$Q$53,"&gt;="&amp;B$13,Cronograma!$Q$6:$Q$53,"&lt;"&amp;EDATE(B$13,1))+COUNTIFS(Cronograma!$C$6:$C$53,$A16,Cronograma!$R$6:$R$53,"&gt;="&amp;B$13,Cronograma!$R$6:$R$53,"&lt;"&amp;EDATE(B$13,1))+COUNTIFS(Cronograma!$C$6:$C$53,$A16,Cronograma!$S$6:$S$53,"&gt;="&amp;B$13,Cronograma!$S$6:$S$53,"&lt;"&amp;EDATE(B$13,1))</f>
        <v>0</v>
      </c>
      <c r="C16" s="25" t="n">
        <f aca="false">COUNTIFS(Cronograma!$C$6:$C$53,$A16,Cronograma!$N$6:$N$53,"&gt;="&amp;C$13,Cronograma!$N$6:$N$53,"&lt;"&amp;EDATE(C$13,1))+COUNTIFS(Cronograma!$C$6:$C$53,$A16,Cronograma!$Q$6:$Q$53,"&gt;="&amp;C$13,Cronograma!$Q$6:$Q$53,"&lt;"&amp;EDATE(C$13,1))+COUNTIFS(Cronograma!$C$6:$C$53,$A16,Cronograma!$R$6:$R$53,"&gt;="&amp;C$13,Cronograma!$R$6:$R$53,"&lt;"&amp;EDATE(C$13,1))+COUNTIFS(Cronograma!$C$6:$C$53,$A16,Cronograma!$S$6:$S$53,"&gt;="&amp;C$13,Cronograma!$S$6:$S$53,"&lt;"&amp;EDATE(C$13,1))</f>
        <v>0</v>
      </c>
      <c r="D16" s="25" t="n">
        <f aca="false">COUNTIFS(Cronograma!$C$6:$C$53,$A16,Cronograma!$N$6:$N$53,"&gt;="&amp;D$13,Cronograma!$N$6:$N$53,"&lt;"&amp;EDATE(D$13,1))+COUNTIFS(Cronograma!$C$6:$C$53,$A16,Cronograma!$Q$6:$Q$53,"&gt;="&amp;D$13,Cronograma!$Q$6:$Q$53,"&lt;"&amp;EDATE(D$13,1))+COUNTIFS(Cronograma!$C$6:$C$53,$A16,Cronograma!$R$6:$R$53,"&gt;="&amp;D$13,Cronograma!$R$6:$R$53,"&lt;"&amp;EDATE(D$13,1))+COUNTIFS(Cronograma!$C$6:$C$53,$A16,Cronograma!$S$6:$S$53,"&gt;="&amp;D$13,Cronograma!$S$6:$S$53,"&lt;"&amp;EDATE(D$13,1))</f>
        <v>0</v>
      </c>
      <c r="E16" s="25" t="n">
        <f aca="false">COUNTIFS(Cronograma!$C$6:$C$53,$A16,Cronograma!$N$6:$N$53,"&gt;="&amp;E$13,Cronograma!$N$6:$N$53,"&lt;"&amp;EDATE(E$13,1))+COUNTIFS(Cronograma!$C$6:$C$53,$A16,Cronograma!$Q$6:$Q$53,"&gt;="&amp;E$13,Cronograma!$Q$6:$Q$53,"&lt;"&amp;EDATE(E$13,1))+COUNTIFS(Cronograma!$C$6:$C$53,$A16,Cronograma!$R$6:$R$53,"&gt;="&amp;E$13,Cronograma!$R$6:$R$53,"&lt;"&amp;EDATE(E$13,1))+COUNTIFS(Cronograma!$C$6:$C$53,$A16,Cronograma!$S$6:$S$53,"&gt;="&amp;E$13,Cronograma!$S$6:$S$53,"&lt;"&amp;EDATE(E$13,1))</f>
        <v>1</v>
      </c>
      <c r="F16" s="25" t="n">
        <f aca="false">COUNTIFS(Cronograma!$C$6:$C$53,$A16,Cronograma!$N$6:$N$53,"&gt;="&amp;F$13,Cronograma!$N$6:$N$53,"&lt;"&amp;EDATE(F$13,1))+COUNTIFS(Cronograma!$C$6:$C$53,$A16,Cronograma!$Q$6:$Q$53,"&gt;="&amp;F$13,Cronograma!$Q$6:$Q$53,"&lt;"&amp;EDATE(F$13,1))+COUNTIFS(Cronograma!$C$6:$C$53,$A16,Cronograma!$R$6:$R$53,"&gt;="&amp;F$13,Cronograma!$R$6:$R$53,"&lt;"&amp;EDATE(F$13,1))+COUNTIFS(Cronograma!$C$6:$C$53,$A16,Cronograma!$S$6:$S$53,"&gt;="&amp;F$13,Cronograma!$S$6:$S$53,"&lt;"&amp;EDATE(F$13,1))</f>
        <v>0</v>
      </c>
      <c r="G16" s="25" t="n">
        <f aca="false">COUNTIFS(Cronograma!$C$6:$C$53,$A16,Cronograma!$N$6:$N$53,"&gt;="&amp;G$13,Cronograma!$N$6:$N$53,"&lt;"&amp;EDATE(G$13,1))+COUNTIFS(Cronograma!$C$6:$C$53,$A16,Cronograma!$Q$6:$Q$53,"&gt;="&amp;G$13,Cronograma!$Q$6:$Q$53,"&lt;"&amp;EDATE(G$13,1))+COUNTIFS(Cronograma!$C$6:$C$53,$A16,Cronograma!$R$6:$R$53,"&gt;="&amp;G$13,Cronograma!$R$6:$R$53,"&lt;"&amp;EDATE(G$13,1))+COUNTIFS(Cronograma!$C$6:$C$53,$A16,Cronograma!$S$6:$S$53,"&gt;="&amp;G$13,Cronograma!$S$6:$S$53,"&lt;"&amp;EDATE(G$13,1))</f>
        <v>0</v>
      </c>
      <c r="H16" s="25" t="n">
        <f aca="false">COUNTIFS(Cronograma!$C$6:$C$53,$A16,Cronograma!$N$6:$N$53,"&gt;="&amp;H$13,Cronograma!$N$6:$N$53,"&lt;"&amp;EDATE(H$13,1))+COUNTIFS(Cronograma!$C$6:$C$53,$A16,Cronograma!$Q$6:$Q$53,"&gt;="&amp;H$13,Cronograma!$Q$6:$Q$53,"&lt;"&amp;EDATE(H$13,1))+COUNTIFS(Cronograma!$C$6:$C$53,$A16,Cronograma!$R$6:$R$53,"&gt;="&amp;H$13,Cronograma!$R$6:$R$53,"&lt;"&amp;EDATE(H$13,1))+COUNTIFS(Cronograma!$C$6:$C$53,$A16,Cronograma!$S$6:$S$53,"&gt;="&amp;H$13,Cronograma!$S$6:$S$53,"&lt;"&amp;EDATE(H$13,1))</f>
        <v>0</v>
      </c>
      <c r="I16" s="25" t="n">
        <f aca="false">COUNTIFS(Cronograma!$C$6:$C$53,$A16,Cronograma!$N$6:$N$53,"&gt;="&amp;I$13,Cronograma!$N$6:$N$53,"&lt;"&amp;EDATE(I$13,1))+COUNTIFS(Cronograma!$C$6:$C$53,$A16,Cronograma!$Q$6:$Q$53,"&gt;="&amp;I$13,Cronograma!$Q$6:$Q$53,"&lt;"&amp;EDATE(I$13,1))+COUNTIFS(Cronograma!$C$6:$C$53,$A16,Cronograma!$R$6:$R$53,"&gt;="&amp;I$13,Cronograma!$R$6:$R$53,"&lt;"&amp;EDATE(I$13,1))+COUNTIFS(Cronograma!$C$6:$C$53,$A16,Cronograma!$S$6:$S$53,"&gt;="&amp;I$13,Cronograma!$S$6:$S$53,"&lt;"&amp;EDATE(I$13,1))</f>
        <v>0</v>
      </c>
      <c r="J16" s="25" t="n">
        <f aca="false">COUNTIFS(Cronograma!$C$6:$C$53,$A16,Cronograma!$N$6:$N$53,"&gt;="&amp;J$13,Cronograma!$N$6:$N$53,"&lt;"&amp;EDATE(J$13,1))+COUNTIFS(Cronograma!$C$6:$C$53,$A16,Cronograma!$Q$6:$Q$53,"&gt;="&amp;J$13,Cronograma!$Q$6:$Q$53,"&lt;"&amp;EDATE(J$13,1))+COUNTIFS(Cronograma!$C$6:$C$53,$A16,Cronograma!$R$6:$R$53,"&gt;="&amp;J$13,Cronograma!$R$6:$R$53,"&lt;"&amp;EDATE(J$13,1))+COUNTIFS(Cronograma!$C$6:$C$53,$A16,Cronograma!$S$6:$S$53,"&gt;="&amp;J$13,Cronograma!$S$6:$S$53,"&lt;"&amp;EDATE(J$13,1))</f>
        <v>0</v>
      </c>
      <c r="K16" s="25" t="n">
        <f aca="false">COUNTIFS(Cronograma!$C$6:$C$53,$A16,Cronograma!$N$6:$N$53,"&gt;="&amp;K$13,Cronograma!$N$6:$N$53,"&lt;"&amp;EDATE(K$13,1))+COUNTIFS(Cronograma!$C$6:$C$53,$A16,Cronograma!$Q$6:$Q$53,"&gt;="&amp;K$13,Cronograma!$Q$6:$Q$53,"&lt;"&amp;EDATE(K$13,1))+COUNTIFS(Cronograma!$C$6:$C$53,$A16,Cronograma!$R$6:$R$53,"&gt;="&amp;K$13,Cronograma!$R$6:$R$53,"&lt;"&amp;EDATE(K$13,1))+COUNTIFS(Cronograma!$C$6:$C$53,$A16,Cronograma!$S$6:$S$53,"&gt;="&amp;K$13,Cronograma!$S$6:$S$53,"&lt;"&amp;EDATE(K$13,1))</f>
        <v>1</v>
      </c>
      <c r="L16" s="25" t="n">
        <f aca="false">COUNTIFS(Cronograma!$C$6:$C$53,$A16,Cronograma!$N$6:$N$53,"&gt;="&amp;L$13,Cronograma!$N$6:$N$53,"&lt;"&amp;EDATE(L$13,1))+COUNTIFS(Cronograma!$C$6:$C$53,$A16,Cronograma!$Q$6:$Q$53,"&gt;="&amp;L$13,Cronograma!$Q$6:$Q$53,"&lt;"&amp;EDATE(L$13,1))+COUNTIFS(Cronograma!$C$6:$C$53,$A16,Cronograma!$R$6:$R$53,"&gt;="&amp;L$13,Cronograma!$R$6:$R$53,"&lt;"&amp;EDATE(L$13,1))+COUNTIFS(Cronograma!$C$6:$C$53,$A16,Cronograma!$S$6:$S$53,"&gt;="&amp;L$13,Cronograma!$S$6:$S$53,"&lt;"&amp;EDATE(L$13,1))</f>
        <v>0</v>
      </c>
      <c r="M16" s="25" t="n">
        <f aca="false">COUNTIFS(Cronograma!$C$6:$C$53,$A16,Cronograma!$N$6:$N$53,"&gt;="&amp;M$13,Cronograma!$N$6:$N$53,"&lt;"&amp;EDATE(M$13,1))+COUNTIFS(Cronograma!$C$6:$C$53,$A16,Cronograma!$Q$6:$Q$53,"&gt;="&amp;M$13,Cronograma!$Q$6:$Q$53,"&lt;"&amp;EDATE(M$13,1))+COUNTIFS(Cronograma!$C$6:$C$53,$A16,Cronograma!$R$6:$R$53,"&gt;="&amp;M$13,Cronograma!$R$6:$R$53,"&lt;"&amp;EDATE(M$13,1))+COUNTIFS(Cronograma!$C$6:$C$53,$A16,Cronograma!$S$6:$S$53,"&gt;="&amp;M$13,Cronograma!$S$6:$S$53,"&lt;"&amp;EDATE(M$13,1))</f>
        <v>0</v>
      </c>
      <c r="N16" s="25" t="n">
        <f aca="false">COUNTIFS(Cronograma!$C$6:$C$53,$A16,Cronograma!$N$6:$N$53,"&gt;="&amp;N$13,Cronograma!$N$6:$N$53,"&lt;"&amp;EDATE(N$13,1))+COUNTIFS(Cronograma!$C$6:$C$53,$A16,Cronograma!$Q$6:$Q$53,"&gt;="&amp;N$13,Cronograma!$Q$6:$Q$53,"&lt;"&amp;EDATE(N$13,1))+COUNTIFS(Cronograma!$C$6:$C$53,$A16,Cronograma!$R$6:$R$53,"&gt;="&amp;N$13,Cronograma!$R$6:$R$53,"&lt;"&amp;EDATE(N$13,1))+COUNTIFS(Cronograma!$C$6:$C$53,$A16,Cronograma!$S$6:$S$53,"&gt;="&amp;N$13,Cronograma!$S$6:$S$53,"&lt;"&amp;EDATE(N$13,1))</f>
        <v>0</v>
      </c>
      <c r="O16" s="25" t="n">
        <f aca="false">COUNTIFS(Cronograma!$C$6:$C$53,$A16,Cronograma!$N$6:$N$53,"&gt;="&amp;O$13,Cronograma!$N$6:$N$53,"&lt;"&amp;EDATE(O$13,1))+COUNTIFS(Cronograma!$C$6:$C$53,$A16,Cronograma!$Q$6:$Q$53,"&gt;="&amp;O$13,Cronograma!$Q$6:$Q$53,"&lt;"&amp;EDATE(O$13,1))+COUNTIFS(Cronograma!$C$6:$C$53,$A16,Cronograma!$R$6:$R$53,"&gt;="&amp;O$13,Cronograma!$R$6:$R$53,"&lt;"&amp;EDATE(O$13,1))+COUNTIFS(Cronograma!$C$6:$C$53,$A16,Cronograma!$S$6:$S$53,"&gt;="&amp;O$13,Cronograma!$S$6:$S$53,"&lt;"&amp;EDATE(O$13,1))</f>
        <v>0</v>
      </c>
      <c r="P16" s="25" t="n">
        <f aca="false">COUNTIFS(Cronograma!$C$6:$C$53,$A16,Cronograma!$N$6:$N$53,"&gt;="&amp;P$13,Cronograma!$N$6:$N$53,"&lt;"&amp;EDATE(P$13,1))+COUNTIFS(Cronograma!$C$6:$C$53,$A16,Cronograma!$Q$6:$Q$53,"&gt;="&amp;P$13,Cronograma!$Q$6:$Q$53,"&lt;"&amp;EDATE(P$13,1))+COUNTIFS(Cronograma!$C$6:$C$53,$A16,Cronograma!$R$6:$R$53,"&gt;="&amp;P$13,Cronograma!$R$6:$R$53,"&lt;"&amp;EDATE(P$13,1))+COUNTIFS(Cronograma!$C$6:$C$53,$A16,Cronograma!$S$6:$S$53,"&gt;="&amp;P$13,Cronograma!$S$6:$S$53,"&lt;"&amp;EDATE(P$13,1))</f>
        <v>0</v>
      </c>
      <c r="Q16" s="25" t="n">
        <f aca="false">COUNTIFS(Cronograma!$C$6:$C$53,$A16,Cronograma!$N$6:$N$53,"&gt;="&amp;Q$13,Cronograma!$N$6:$N$53,"&lt;"&amp;EDATE(Q$13,1))+COUNTIFS(Cronograma!$C$6:$C$53,$A16,Cronograma!$Q$6:$Q$53,"&gt;="&amp;Q$13,Cronograma!$Q$6:$Q$53,"&lt;"&amp;EDATE(Q$13,1))+COUNTIFS(Cronograma!$C$6:$C$53,$A16,Cronograma!$R$6:$R$53,"&gt;="&amp;Q$13,Cronograma!$R$6:$R$53,"&lt;"&amp;EDATE(Q$13,1))+COUNTIFS(Cronograma!$C$6:$C$53,$A16,Cronograma!$S$6:$S$53,"&gt;="&amp;Q$13,Cronograma!$S$6:$S$53,"&lt;"&amp;EDATE(Q$13,1))</f>
        <v>1</v>
      </c>
      <c r="R16" s="25" t="n">
        <f aca="false">COUNTIFS(Cronograma!$C$6:$C$53,$A16,Cronograma!$N$6:$N$53,"&gt;="&amp;R$13,Cronograma!$N$6:$N$53,"&lt;"&amp;EDATE(R$13,1))+COUNTIFS(Cronograma!$C$6:$C$53,$A16,Cronograma!$Q$6:$Q$53,"&gt;="&amp;R$13,Cronograma!$Q$6:$Q$53,"&lt;"&amp;EDATE(R$13,1))+COUNTIFS(Cronograma!$C$6:$C$53,$A16,Cronograma!$R$6:$R$53,"&gt;="&amp;R$13,Cronograma!$R$6:$R$53,"&lt;"&amp;EDATE(R$13,1))+COUNTIFS(Cronograma!$C$6:$C$53,$A16,Cronograma!$S$6:$S$53,"&gt;="&amp;R$13,Cronograma!$S$6:$S$53,"&lt;"&amp;EDATE(R$13,1))</f>
        <v>0</v>
      </c>
      <c r="S16" s="25" t="n">
        <f aca="false">COUNTIFS(Cronograma!$C$6:$C$53,$A16,Cronograma!$N$6:$N$53,"&gt;="&amp;S$13,Cronograma!$N$6:$N$53,"&lt;"&amp;EDATE(S$13,1))+COUNTIFS(Cronograma!$C$6:$C$53,$A16,Cronograma!$Q$6:$Q$53,"&gt;="&amp;S$13,Cronograma!$Q$6:$Q$53,"&lt;"&amp;EDATE(S$13,1))+COUNTIFS(Cronograma!$C$6:$C$53,$A16,Cronograma!$R$6:$R$53,"&gt;="&amp;S$13,Cronograma!$R$6:$R$53,"&lt;"&amp;EDATE(S$13,1))+COUNTIFS(Cronograma!$C$6:$C$53,$A16,Cronograma!$S$6:$S$53,"&gt;="&amp;S$13,Cronograma!$S$6:$S$53,"&lt;"&amp;EDATE(S$13,1))</f>
        <v>0</v>
      </c>
      <c r="T16" s="25" t="n">
        <f aca="false">COUNTIFS(Cronograma!$C$6:$C$53,$A16,Cronograma!$N$6:$N$53,"&gt;="&amp;T$13,Cronograma!$N$6:$N$53,"&lt;"&amp;EDATE(T$13,1))+COUNTIFS(Cronograma!$C$6:$C$53,$A16,Cronograma!$Q$6:$Q$53,"&gt;="&amp;T$13,Cronograma!$Q$6:$Q$53,"&lt;"&amp;EDATE(T$13,1))+COUNTIFS(Cronograma!$C$6:$C$53,$A16,Cronograma!$R$6:$R$53,"&gt;="&amp;T$13,Cronograma!$R$6:$R$53,"&lt;"&amp;EDATE(T$13,1))+COUNTIFS(Cronograma!$C$6:$C$53,$A16,Cronograma!$S$6:$S$53,"&gt;="&amp;T$13,Cronograma!$S$6:$S$53,"&lt;"&amp;EDATE(T$13,1))</f>
        <v>0</v>
      </c>
      <c r="U16" s="25" t="n">
        <f aca="false">COUNTIFS(Cronograma!$C$6:$C$53,$A16,Cronograma!$N$6:$N$53,"&gt;="&amp;U$13,Cronograma!$N$6:$N$53,"&lt;"&amp;EDATE(U$13,1))+COUNTIFS(Cronograma!$C$6:$C$53,$A16,Cronograma!$Q$6:$Q$53,"&gt;="&amp;U$13,Cronograma!$Q$6:$Q$53,"&lt;"&amp;EDATE(U$13,1))+COUNTIFS(Cronograma!$C$6:$C$53,$A16,Cronograma!$R$6:$R$53,"&gt;="&amp;U$13,Cronograma!$R$6:$R$53,"&lt;"&amp;EDATE(U$13,1))+COUNTIFS(Cronograma!$C$6:$C$53,$A16,Cronograma!$S$6:$S$53,"&gt;="&amp;U$13,Cronograma!$S$6:$S$53,"&lt;"&amp;EDATE(U$13,1))</f>
        <v>0</v>
      </c>
      <c r="V16" s="25" t="n">
        <f aca="false">COUNTIFS(Cronograma!$C$6:$C$53,$A16,Cronograma!$N$6:$N$53,"&gt;="&amp;V$13,Cronograma!$N$6:$N$53,"&lt;"&amp;EDATE(V$13,1))+COUNTIFS(Cronograma!$C$6:$C$53,$A16,Cronograma!$Q$6:$Q$53,"&gt;="&amp;V$13,Cronograma!$Q$6:$Q$53,"&lt;"&amp;EDATE(V$13,1))+COUNTIFS(Cronograma!$C$6:$C$53,$A16,Cronograma!$R$6:$R$53,"&gt;="&amp;V$13,Cronograma!$R$6:$R$53,"&lt;"&amp;EDATE(V$13,1))+COUNTIFS(Cronograma!$C$6:$C$53,$A16,Cronograma!$S$6:$S$53,"&gt;="&amp;V$13,Cronograma!$S$6:$S$53,"&lt;"&amp;EDATE(V$13,1))</f>
        <v>0</v>
      </c>
      <c r="W16" s="25" t="n">
        <f aca="false">COUNTIFS(Cronograma!$C$6:$C$53,$A16,Cronograma!$N$6:$N$53,"&gt;="&amp;W$13,Cronograma!$N$6:$N$53,"&lt;"&amp;EDATE(W$13,1))+COUNTIFS(Cronograma!$C$6:$C$53,$A16,Cronograma!$Q$6:$Q$53,"&gt;="&amp;W$13,Cronograma!$Q$6:$Q$53,"&lt;"&amp;EDATE(W$13,1))+COUNTIFS(Cronograma!$C$6:$C$53,$A16,Cronograma!$R$6:$R$53,"&gt;="&amp;W$13,Cronograma!$R$6:$R$53,"&lt;"&amp;EDATE(W$13,1))+COUNTIFS(Cronograma!$C$6:$C$53,$A16,Cronograma!$S$6:$S$53,"&gt;="&amp;W$13,Cronograma!$S$6:$S$53,"&lt;"&amp;EDATE(W$13,1))</f>
        <v>1</v>
      </c>
      <c r="X16" s="25" t="n">
        <f aca="false">COUNTIFS(Cronograma!$C$6:$C$53,$A16,Cronograma!$N$6:$N$53,"&gt;="&amp;X$13,Cronograma!$N$6:$N$53,"&lt;"&amp;EDATE(X$13,1))+COUNTIFS(Cronograma!$C$6:$C$53,$A16,Cronograma!$Q$6:$Q$53,"&gt;="&amp;X$13,Cronograma!$Q$6:$Q$53,"&lt;"&amp;EDATE(X$13,1))+COUNTIFS(Cronograma!$C$6:$C$53,$A16,Cronograma!$R$6:$R$53,"&gt;="&amp;X$13,Cronograma!$R$6:$R$53,"&lt;"&amp;EDATE(X$13,1))+COUNTIFS(Cronograma!$C$6:$C$53,$A16,Cronograma!$S$6:$S$53,"&gt;="&amp;X$13,Cronograma!$S$6:$S$53,"&lt;"&amp;EDATE(X$13,1))</f>
        <v>0</v>
      </c>
      <c r="Y16" s="25" t="n">
        <f aca="false">COUNTIFS(Cronograma!$C$6:$C$53,$A16,Cronograma!$N$6:$N$53,"&gt;="&amp;Y$13,Cronograma!$N$6:$N$53,"&lt;"&amp;EDATE(Y$13,1))+COUNTIFS(Cronograma!$C$6:$C$53,$A16,Cronograma!$Q$6:$Q$53,"&gt;="&amp;Y$13,Cronograma!$Q$6:$Q$53,"&lt;"&amp;EDATE(Y$13,1))+COUNTIFS(Cronograma!$C$6:$C$53,$A16,Cronograma!$R$6:$R$53,"&gt;="&amp;Y$13,Cronograma!$R$6:$R$53,"&lt;"&amp;EDATE(Y$13,1))+COUNTIFS(Cronograma!$C$6:$C$53,$A16,Cronograma!$S$6:$S$53,"&gt;="&amp;Y$13,Cronograma!$S$6:$S$53,"&lt;"&amp;EDATE(Y$13,1))</f>
        <v>0</v>
      </c>
      <c r="Z16" s="4" t="n">
        <f aca="false">SUM(B16:Y16)</f>
        <v>4</v>
      </c>
    </row>
    <row r="17" customFormat="false" ht="15" hidden="false" customHeight="false" outlineLevel="0" collapsed="false">
      <c r="A17" s="24" t="s">
        <v>154</v>
      </c>
      <c r="B17" s="25" t="n">
        <f aca="false">COUNTIFS(Cronograma!$C$6:$C$53,$A17,Cronograma!$N$6:$N$53,"&gt;="&amp;B$13,Cronograma!$N$6:$N$53,"&lt;"&amp;EDATE(B$13,1))+COUNTIFS(Cronograma!$C$6:$C$53,$A17,Cronograma!$Q$6:$Q$53,"&gt;="&amp;B$13,Cronograma!$Q$6:$Q$53,"&lt;"&amp;EDATE(B$13,1))+COUNTIFS(Cronograma!$C$6:$C$53,$A17,Cronograma!$R$6:$R$53,"&gt;="&amp;B$13,Cronograma!$R$6:$R$53,"&lt;"&amp;EDATE(B$13,1))+COUNTIFS(Cronograma!$C$6:$C$53,$A17,Cronograma!$S$6:$S$53,"&gt;="&amp;B$13,Cronograma!$S$6:$S$53,"&lt;"&amp;EDATE(B$13,1))</f>
        <v>0</v>
      </c>
      <c r="C17" s="25" t="n">
        <f aca="false">COUNTIFS(Cronograma!$C$6:$C$53,$A17,Cronograma!$N$6:$N$53,"&gt;="&amp;C$13,Cronograma!$N$6:$N$53,"&lt;"&amp;EDATE(C$13,1))+COUNTIFS(Cronograma!$C$6:$C$53,$A17,Cronograma!$Q$6:$Q$53,"&gt;="&amp;C$13,Cronograma!$Q$6:$Q$53,"&lt;"&amp;EDATE(C$13,1))+COUNTIFS(Cronograma!$C$6:$C$53,$A17,Cronograma!$R$6:$R$53,"&gt;="&amp;C$13,Cronograma!$R$6:$R$53,"&lt;"&amp;EDATE(C$13,1))+COUNTIFS(Cronograma!$C$6:$C$53,$A17,Cronograma!$S$6:$S$53,"&gt;="&amp;C$13,Cronograma!$S$6:$S$53,"&lt;"&amp;EDATE(C$13,1))</f>
        <v>0</v>
      </c>
      <c r="D17" s="25" t="n">
        <f aca="false">COUNTIFS(Cronograma!$C$6:$C$53,$A17,Cronograma!$N$6:$N$53,"&gt;="&amp;D$13,Cronograma!$N$6:$N$53,"&lt;"&amp;EDATE(D$13,1))+COUNTIFS(Cronograma!$C$6:$C$53,$A17,Cronograma!$Q$6:$Q$53,"&gt;="&amp;D$13,Cronograma!$Q$6:$Q$53,"&lt;"&amp;EDATE(D$13,1))+COUNTIFS(Cronograma!$C$6:$C$53,$A17,Cronograma!$R$6:$R$53,"&gt;="&amp;D$13,Cronograma!$R$6:$R$53,"&lt;"&amp;EDATE(D$13,1))+COUNTIFS(Cronograma!$C$6:$C$53,$A17,Cronograma!$S$6:$S$53,"&gt;="&amp;D$13,Cronograma!$S$6:$S$53,"&lt;"&amp;EDATE(D$13,1))</f>
        <v>0</v>
      </c>
      <c r="E17" s="25" t="n">
        <f aca="false">COUNTIFS(Cronograma!$C$6:$C$53,$A17,Cronograma!$N$6:$N$53,"&gt;="&amp;E$13,Cronograma!$N$6:$N$53,"&lt;"&amp;EDATE(E$13,1))+COUNTIFS(Cronograma!$C$6:$C$53,$A17,Cronograma!$Q$6:$Q$53,"&gt;="&amp;E$13,Cronograma!$Q$6:$Q$53,"&lt;"&amp;EDATE(E$13,1))+COUNTIFS(Cronograma!$C$6:$C$53,$A17,Cronograma!$R$6:$R$53,"&gt;="&amp;E$13,Cronograma!$R$6:$R$53,"&lt;"&amp;EDATE(E$13,1))+COUNTIFS(Cronograma!$C$6:$C$53,$A17,Cronograma!$S$6:$S$53,"&gt;="&amp;E$13,Cronograma!$S$6:$S$53,"&lt;"&amp;EDATE(E$13,1))</f>
        <v>1</v>
      </c>
      <c r="F17" s="25" t="n">
        <f aca="false">COUNTIFS(Cronograma!$C$6:$C$53,$A17,Cronograma!$N$6:$N$53,"&gt;="&amp;F$13,Cronograma!$N$6:$N$53,"&lt;"&amp;EDATE(F$13,1))+COUNTIFS(Cronograma!$C$6:$C$53,$A17,Cronograma!$Q$6:$Q$53,"&gt;="&amp;F$13,Cronograma!$Q$6:$Q$53,"&lt;"&amp;EDATE(F$13,1))+COUNTIFS(Cronograma!$C$6:$C$53,$A17,Cronograma!$R$6:$R$53,"&gt;="&amp;F$13,Cronograma!$R$6:$R$53,"&lt;"&amp;EDATE(F$13,1))+COUNTIFS(Cronograma!$C$6:$C$53,$A17,Cronograma!$S$6:$S$53,"&gt;="&amp;F$13,Cronograma!$S$6:$S$53,"&lt;"&amp;EDATE(F$13,1))</f>
        <v>0</v>
      </c>
      <c r="G17" s="25" t="n">
        <f aca="false">COUNTIFS(Cronograma!$C$6:$C$53,$A17,Cronograma!$N$6:$N$53,"&gt;="&amp;G$13,Cronograma!$N$6:$N$53,"&lt;"&amp;EDATE(G$13,1))+COUNTIFS(Cronograma!$C$6:$C$53,$A17,Cronograma!$Q$6:$Q$53,"&gt;="&amp;G$13,Cronograma!$Q$6:$Q$53,"&lt;"&amp;EDATE(G$13,1))+COUNTIFS(Cronograma!$C$6:$C$53,$A17,Cronograma!$R$6:$R$53,"&gt;="&amp;G$13,Cronograma!$R$6:$R$53,"&lt;"&amp;EDATE(G$13,1))+COUNTIFS(Cronograma!$C$6:$C$53,$A17,Cronograma!$S$6:$S$53,"&gt;="&amp;G$13,Cronograma!$S$6:$S$53,"&lt;"&amp;EDATE(G$13,1))</f>
        <v>0</v>
      </c>
      <c r="H17" s="25" t="n">
        <f aca="false">COUNTIFS(Cronograma!$C$6:$C$53,$A17,Cronograma!$N$6:$N$53,"&gt;="&amp;H$13,Cronograma!$N$6:$N$53,"&lt;"&amp;EDATE(H$13,1))+COUNTIFS(Cronograma!$C$6:$C$53,$A17,Cronograma!$Q$6:$Q$53,"&gt;="&amp;H$13,Cronograma!$Q$6:$Q$53,"&lt;"&amp;EDATE(H$13,1))+COUNTIFS(Cronograma!$C$6:$C$53,$A17,Cronograma!$R$6:$R$53,"&gt;="&amp;H$13,Cronograma!$R$6:$R$53,"&lt;"&amp;EDATE(H$13,1))+COUNTIFS(Cronograma!$C$6:$C$53,$A17,Cronograma!$S$6:$S$53,"&gt;="&amp;H$13,Cronograma!$S$6:$S$53,"&lt;"&amp;EDATE(H$13,1))</f>
        <v>0</v>
      </c>
      <c r="I17" s="25" t="n">
        <f aca="false">COUNTIFS(Cronograma!$C$6:$C$53,$A17,Cronograma!$N$6:$N$53,"&gt;="&amp;I$13,Cronograma!$N$6:$N$53,"&lt;"&amp;EDATE(I$13,1))+COUNTIFS(Cronograma!$C$6:$C$53,$A17,Cronograma!$Q$6:$Q$53,"&gt;="&amp;I$13,Cronograma!$Q$6:$Q$53,"&lt;"&amp;EDATE(I$13,1))+COUNTIFS(Cronograma!$C$6:$C$53,$A17,Cronograma!$R$6:$R$53,"&gt;="&amp;I$13,Cronograma!$R$6:$R$53,"&lt;"&amp;EDATE(I$13,1))+COUNTIFS(Cronograma!$C$6:$C$53,$A17,Cronograma!$S$6:$S$53,"&gt;="&amp;I$13,Cronograma!$S$6:$S$53,"&lt;"&amp;EDATE(I$13,1))</f>
        <v>0</v>
      </c>
      <c r="J17" s="25" t="n">
        <f aca="false">COUNTIFS(Cronograma!$C$6:$C$53,$A17,Cronograma!$N$6:$N$53,"&gt;="&amp;J$13,Cronograma!$N$6:$N$53,"&lt;"&amp;EDATE(J$13,1))+COUNTIFS(Cronograma!$C$6:$C$53,$A17,Cronograma!$Q$6:$Q$53,"&gt;="&amp;J$13,Cronograma!$Q$6:$Q$53,"&lt;"&amp;EDATE(J$13,1))+COUNTIFS(Cronograma!$C$6:$C$53,$A17,Cronograma!$R$6:$R$53,"&gt;="&amp;J$13,Cronograma!$R$6:$R$53,"&lt;"&amp;EDATE(J$13,1))+COUNTIFS(Cronograma!$C$6:$C$53,$A17,Cronograma!$S$6:$S$53,"&gt;="&amp;J$13,Cronograma!$S$6:$S$53,"&lt;"&amp;EDATE(J$13,1))</f>
        <v>0</v>
      </c>
      <c r="K17" s="25" t="n">
        <f aca="false">COUNTIFS(Cronograma!$C$6:$C$53,$A17,Cronograma!$N$6:$N$53,"&gt;="&amp;K$13,Cronograma!$N$6:$N$53,"&lt;"&amp;EDATE(K$13,1))+COUNTIFS(Cronograma!$C$6:$C$53,$A17,Cronograma!$Q$6:$Q$53,"&gt;="&amp;K$13,Cronograma!$Q$6:$Q$53,"&lt;"&amp;EDATE(K$13,1))+COUNTIFS(Cronograma!$C$6:$C$53,$A17,Cronograma!$R$6:$R$53,"&gt;="&amp;K$13,Cronograma!$R$6:$R$53,"&lt;"&amp;EDATE(K$13,1))+COUNTIFS(Cronograma!$C$6:$C$53,$A17,Cronograma!$S$6:$S$53,"&gt;="&amp;K$13,Cronograma!$S$6:$S$53,"&lt;"&amp;EDATE(K$13,1))</f>
        <v>1</v>
      </c>
      <c r="L17" s="25" t="n">
        <f aca="false">COUNTIFS(Cronograma!$C$6:$C$53,$A17,Cronograma!$N$6:$N$53,"&gt;="&amp;L$13,Cronograma!$N$6:$N$53,"&lt;"&amp;EDATE(L$13,1))+COUNTIFS(Cronograma!$C$6:$C$53,$A17,Cronograma!$Q$6:$Q$53,"&gt;="&amp;L$13,Cronograma!$Q$6:$Q$53,"&lt;"&amp;EDATE(L$13,1))+COUNTIFS(Cronograma!$C$6:$C$53,$A17,Cronograma!$R$6:$R$53,"&gt;="&amp;L$13,Cronograma!$R$6:$R$53,"&lt;"&amp;EDATE(L$13,1))+COUNTIFS(Cronograma!$C$6:$C$53,$A17,Cronograma!$S$6:$S$53,"&gt;="&amp;L$13,Cronograma!$S$6:$S$53,"&lt;"&amp;EDATE(L$13,1))</f>
        <v>0</v>
      </c>
      <c r="M17" s="25" t="n">
        <f aca="false">COUNTIFS(Cronograma!$C$6:$C$53,$A17,Cronograma!$N$6:$N$53,"&gt;="&amp;M$13,Cronograma!$N$6:$N$53,"&lt;"&amp;EDATE(M$13,1))+COUNTIFS(Cronograma!$C$6:$C$53,$A17,Cronograma!$Q$6:$Q$53,"&gt;="&amp;M$13,Cronograma!$Q$6:$Q$53,"&lt;"&amp;EDATE(M$13,1))+COUNTIFS(Cronograma!$C$6:$C$53,$A17,Cronograma!$R$6:$R$53,"&gt;="&amp;M$13,Cronograma!$R$6:$R$53,"&lt;"&amp;EDATE(M$13,1))+COUNTIFS(Cronograma!$C$6:$C$53,$A17,Cronograma!$S$6:$S$53,"&gt;="&amp;M$13,Cronograma!$S$6:$S$53,"&lt;"&amp;EDATE(M$13,1))</f>
        <v>0</v>
      </c>
      <c r="N17" s="25" t="n">
        <f aca="false">COUNTIFS(Cronograma!$C$6:$C$53,$A17,Cronograma!$N$6:$N$53,"&gt;="&amp;N$13,Cronograma!$N$6:$N$53,"&lt;"&amp;EDATE(N$13,1))+COUNTIFS(Cronograma!$C$6:$C$53,$A17,Cronograma!$Q$6:$Q$53,"&gt;="&amp;N$13,Cronograma!$Q$6:$Q$53,"&lt;"&amp;EDATE(N$13,1))+COUNTIFS(Cronograma!$C$6:$C$53,$A17,Cronograma!$R$6:$R$53,"&gt;="&amp;N$13,Cronograma!$R$6:$R$53,"&lt;"&amp;EDATE(N$13,1))+COUNTIFS(Cronograma!$C$6:$C$53,$A17,Cronograma!$S$6:$S$53,"&gt;="&amp;N$13,Cronograma!$S$6:$S$53,"&lt;"&amp;EDATE(N$13,1))</f>
        <v>0</v>
      </c>
      <c r="O17" s="25" t="n">
        <f aca="false">COUNTIFS(Cronograma!$C$6:$C$53,$A17,Cronograma!$N$6:$N$53,"&gt;="&amp;O$13,Cronograma!$N$6:$N$53,"&lt;"&amp;EDATE(O$13,1))+COUNTIFS(Cronograma!$C$6:$C$53,$A17,Cronograma!$Q$6:$Q$53,"&gt;="&amp;O$13,Cronograma!$Q$6:$Q$53,"&lt;"&amp;EDATE(O$13,1))+COUNTIFS(Cronograma!$C$6:$C$53,$A17,Cronograma!$R$6:$R$53,"&gt;="&amp;O$13,Cronograma!$R$6:$R$53,"&lt;"&amp;EDATE(O$13,1))+COUNTIFS(Cronograma!$C$6:$C$53,$A17,Cronograma!$S$6:$S$53,"&gt;="&amp;O$13,Cronograma!$S$6:$S$53,"&lt;"&amp;EDATE(O$13,1))</f>
        <v>0</v>
      </c>
      <c r="P17" s="25" t="n">
        <f aca="false">COUNTIFS(Cronograma!$C$6:$C$53,$A17,Cronograma!$N$6:$N$53,"&gt;="&amp;P$13,Cronograma!$N$6:$N$53,"&lt;"&amp;EDATE(P$13,1))+COUNTIFS(Cronograma!$C$6:$C$53,$A17,Cronograma!$Q$6:$Q$53,"&gt;="&amp;P$13,Cronograma!$Q$6:$Q$53,"&lt;"&amp;EDATE(P$13,1))+COUNTIFS(Cronograma!$C$6:$C$53,$A17,Cronograma!$R$6:$R$53,"&gt;="&amp;P$13,Cronograma!$R$6:$R$53,"&lt;"&amp;EDATE(P$13,1))+COUNTIFS(Cronograma!$C$6:$C$53,$A17,Cronograma!$S$6:$S$53,"&gt;="&amp;P$13,Cronograma!$S$6:$S$53,"&lt;"&amp;EDATE(P$13,1))</f>
        <v>0</v>
      </c>
      <c r="Q17" s="25" t="n">
        <f aca="false">COUNTIFS(Cronograma!$C$6:$C$53,$A17,Cronograma!$N$6:$N$53,"&gt;="&amp;Q$13,Cronograma!$N$6:$N$53,"&lt;"&amp;EDATE(Q$13,1))+COUNTIFS(Cronograma!$C$6:$C$53,$A17,Cronograma!$Q$6:$Q$53,"&gt;="&amp;Q$13,Cronograma!$Q$6:$Q$53,"&lt;"&amp;EDATE(Q$13,1))+COUNTIFS(Cronograma!$C$6:$C$53,$A17,Cronograma!$R$6:$R$53,"&gt;="&amp;Q$13,Cronograma!$R$6:$R$53,"&lt;"&amp;EDATE(Q$13,1))+COUNTIFS(Cronograma!$C$6:$C$53,$A17,Cronograma!$S$6:$S$53,"&gt;="&amp;Q$13,Cronograma!$S$6:$S$53,"&lt;"&amp;EDATE(Q$13,1))</f>
        <v>1</v>
      </c>
      <c r="R17" s="25" t="n">
        <f aca="false">COUNTIFS(Cronograma!$C$6:$C$53,$A17,Cronograma!$N$6:$N$53,"&gt;="&amp;R$13,Cronograma!$N$6:$N$53,"&lt;"&amp;EDATE(R$13,1))+COUNTIFS(Cronograma!$C$6:$C$53,$A17,Cronograma!$Q$6:$Q$53,"&gt;="&amp;R$13,Cronograma!$Q$6:$Q$53,"&lt;"&amp;EDATE(R$13,1))+COUNTIFS(Cronograma!$C$6:$C$53,$A17,Cronograma!$R$6:$R$53,"&gt;="&amp;R$13,Cronograma!$R$6:$R$53,"&lt;"&amp;EDATE(R$13,1))+COUNTIFS(Cronograma!$C$6:$C$53,$A17,Cronograma!$S$6:$S$53,"&gt;="&amp;R$13,Cronograma!$S$6:$S$53,"&lt;"&amp;EDATE(R$13,1))</f>
        <v>0</v>
      </c>
      <c r="S17" s="25" t="n">
        <f aca="false">COUNTIFS(Cronograma!$C$6:$C$53,$A17,Cronograma!$N$6:$N$53,"&gt;="&amp;S$13,Cronograma!$N$6:$N$53,"&lt;"&amp;EDATE(S$13,1))+COUNTIFS(Cronograma!$C$6:$C$53,$A17,Cronograma!$Q$6:$Q$53,"&gt;="&amp;S$13,Cronograma!$Q$6:$Q$53,"&lt;"&amp;EDATE(S$13,1))+COUNTIFS(Cronograma!$C$6:$C$53,$A17,Cronograma!$R$6:$R$53,"&gt;="&amp;S$13,Cronograma!$R$6:$R$53,"&lt;"&amp;EDATE(S$13,1))+COUNTIFS(Cronograma!$C$6:$C$53,$A17,Cronograma!$S$6:$S$53,"&gt;="&amp;S$13,Cronograma!$S$6:$S$53,"&lt;"&amp;EDATE(S$13,1))</f>
        <v>0</v>
      </c>
      <c r="T17" s="25" t="n">
        <f aca="false">COUNTIFS(Cronograma!$C$6:$C$53,$A17,Cronograma!$N$6:$N$53,"&gt;="&amp;T$13,Cronograma!$N$6:$N$53,"&lt;"&amp;EDATE(T$13,1))+COUNTIFS(Cronograma!$C$6:$C$53,$A17,Cronograma!$Q$6:$Q$53,"&gt;="&amp;T$13,Cronograma!$Q$6:$Q$53,"&lt;"&amp;EDATE(T$13,1))+COUNTIFS(Cronograma!$C$6:$C$53,$A17,Cronograma!$R$6:$R$53,"&gt;="&amp;T$13,Cronograma!$R$6:$R$53,"&lt;"&amp;EDATE(T$13,1))+COUNTIFS(Cronograma!$C$6:$C$53,$A17,Cronograma!$S$6:$S$53,"&gt;="&amp;T$13,Cronograma!$S$6:$S$53,"&lt;"&amp;EDATE(T$13,1))</f>
        <v>0</v>
      </c>
      <c r="U17" s="25" t="n">
        <f aca="false">COUNTIFS(Cronograma!$C$6:$C$53,$A17,Cronograma!$N$6:$N$53,"&gt;="&amp;U$13,Cronograma!$N$6:$N$53,"&lt;"&amp;EDATE(U$13,1))+COUNTIFS(Cronograma!$C$6:$C$53,$A17,Cronograma!$Q$6:$Q$53,"&gt;="&amp;U$13,Cronograma!$Q$6:$Q$53,"&lt;"&amp;EDATE(U$13,1))+COUNTIFS(Cronograma!$C$6:$C$53,$A17,Cronograma!$R$6:$R$53,"&gt;="&amp;U$13,Cronograma!$R$6:$R$53,"&lt;"&amp;EDATE(U$13,1))+COUNTIFS(Cronograma!$C$6:$C$53,$A17,Cronograma!$S$6:$S$53,"&gt;="&amp;U$13,Cronograma!$S$6:$S$53,"&lt;"&amp;EDATE(U$13,1))</f>
        <v>0</v>
      </c>
      <c r="V17" s="25" t="n">
        <f aca="false">COUNTIFS(Cronograma!$C$6:$C$53,$A17,Cronograma!$N$6:$N$53,"&gt;="&amp;V$13,Cronograma!$N$6:$N$53,"&lt;"&amp;EDATE(V$13,1))+COUNTIFS(Cronograma!$C$6:$C$53,$A17,Cronograma!$Q$6:$Q$53,"&gt;="&amp;V$13,Cronograma!$Q$6:$Q$53,"&lt;"&amp;EDATE(V$13,1))+COUNTIFS(Cronograma!$C$6:$C$53,$A17,Cronograma!$R$6:$R$53,"&gt;="&amp;V$13,Cronograma!$R$6:$R$53,"&lt;"&amp;EDATE(V$13,1))+COUNTIFS(Cronograma!$C$6:$C$53,$A17,Cronograma!$S$6:$S$53,"&gt;="&amp;V$13,Cronograma!$S$6:$S$53,"&lt;"&amp;EDATE(V$13,1))</f>
        <v>0</v>
      </c>
      <c r="W17" s="25" t="n">
        <f aca="false">COUNTIFS(Cronograma!$C$6:$C$53,$A17,Cronograma!$N$6:$N$53,"&gt;="&amp;W$13,Cronograma!$N$6:$N$53,"&lt;"&amp;EDATE(W$13,1))+COUNTIFS(Cronograma!$C$6:$C$53,$A17,Cronograma!$Q$6:$Q$53,"&gt;="&amp;W$13,Cronograma!$Q$6:$Q$53,"&lt;"&amp;EDATE(W$13,1))+COUNTIFS(Cronograma!$C$6:$C$53,$A17,Cronograma!$R$6:$R$53,"&gt;="&amp;W$13,Cronograma!$R$6:$R$53,"&lt;"&amp;EDATE(W$13,1))+COUNTIFS(Cronograma!$C$6:$C$53,$A17,Cronograma!$S$6:$S$53,"&gt;="&amp;W$13,Cronograma!$S$6:$S$53,"&lt;"&amp;EDATE(W$13,1))</f>
        <v>1</v>
      </c>
      <c r="X17" s="25" t="n">
        <f aca="false">COUNTIFS(Cronograma!$C$6:$C$53,$A17,Cronograma!$N$6:$N$53,"&gt;="&amp;X$13,Cronograma!$N$6:$N$53,"&lt;"&amp;EDATE(X$13,1))+COUNTIFS(Cronograma!$C$6:$C$53,$A17,Cronograma!$Q$6:$Q$53,"&gt;="&amp;X$13,Cronograma!$Q$6:$Q$53,"&lt;"&amp;EDATE(X$13,1))+COUNTIFS(Cronograma!$C$6:$C$53,$A17,Cronograma!$R$6:$R$53,"&gt;="&amp;X$13,Cronograma!$R$6:$R$53,"&lt;"&amp;EDATE(X$13,1))+COUNTIFS(Cronograma!$C$6:$C$53,$A17,Cronograma!$S$6:$S$53,"&gt;="&amp;X$13,Cronograma!$S$6:$S$53,"&lt;"&amp;EDATE(X$13,1))</f>
        <v>0</v>
      </c>
      <c r="Y17" s="25" t="n">
        <f aca="false">COUNTIFS(Cronograma!$C$6:$C$53,$A17,Cronograma!$N$6:$N$53,"&gt;="&amp;Y$13,Cronograma!$N$6:$N$53,"&lt;"&amp;EDATE(Y$13,1))+COUNTIFS(Cronograma!$C$6:$C$53,$A17,Cronograma!$Q$6:$Q$53,"&gt;="&amp;Y$13,Cronograma!$Q$6:$Q$53,"&lt;"&amp;EDATE(Y$13,1))+COUNTIFS(Cronograma!$C$6:$C$53,$A17,Cronograma!$R$6:$R$53,"&gt;="&amp;Y$13,Cronograma!$R$6:$R$53,"&lt;"&amp;EDATE(Y$13,1))+COUNTIFS(Cronograma!$C$6:$C$53,$A17,Cronograma!$S$6:$S$53,"&gt;="&amp;Y$13,Cronograma!$S$6:$S$53,"&lt;"&amp;EDATE(Y$13,1))</f>
        <v>0</v>
      </c>
      <c r="Z17" s="4" t="n">
        <f aca="false">SUM(B17:Y17)</f>
        <v>4</v>
      </c>
    </row>
    <row r="18" customFormat="false" ht="15" hidden="false" customHeight="false" outlineLevel="0" collapsed="false">
      <c r="A18" s="24" t="s">
        <v>69</v>
      </c>
      <c r="B18" s="25" t="n">
        <f aca="false">COUNTIFS(Cronograma!$C$6:$C$53,$A18,Cronograma!$N$6:$N$53,"&gt;="&amp;B$13,Cronograma!$N$6:$N$53,"&lt;"&amp;EDATE(B$13,1))+COUNTIFS(Cronograma!$C$6:$C$53,$A18,Cronograma!$Q$6:$Q$53,"&gt;="&amp;B$13,Cronograma!$Q$6:$Q$53,"&lt;"&amp;EDATE(B$13,1))+COUNTIFS(Cronograma!$C$6:$C$53,$A18,Cronograma!$R$6:$R$53,"&gt;="&amp;B$13,Cronograma!$R$6:$R$53,"&lt;"&amp;EDATE(B$13,1))+COUNTIFS(Cronograma!$C$6:$C$53,$A18,Cronograma!$S$6:$S$53,"&gt;="&amp;B$13,Cronograma!$S$6:$S$53,"&lt;"&amp;EDATE(B$13,1))</f>
        <v>22</v>
      </c>
      <c r="C18" s="25" t="n">
        <f aca="false">COUNTIFS(Cronograma!$C$6:$C$53,$A18,Cronograma!$N$6:$N$53,"&gt;="&amp;C$13,Cronograma!$N$6:$N$53,"&lt;"&amp;EDATE(C$13,1))+COUNTIFS(Cronograma!$C$6:$C$53,$A18,Cronograma!$Q$6:$Q$53,"&gt;="&amp;C$13,Cronograma!$Q$6:$Q$53,"&lt;"&amp;EDATE(C$13,1))+COUNTIFS(Cronograma!$C$6:$C$53,$A18,Cronograma!$R$6:$R$53,"&gt;="&amp;C$13,Cronograma!$R$6:$R$53,"&lt;"&amp;EDATE(C$13,1))+COUNTIFS(Cronograma!$C$6:$C$53,$A18,Cronograma!$S$6:$S$53,"&gt;="&amp;C$13,Cronograma!$S$6:$S$53,"&lt;"&amp;EDATE(C$13,1))</f>
        <v>0</v>
      </c>
      <c r="D18" s="25" t="n">
        <f aca="false">COUNTIFS(Cronograma!$C$6:$C$53,$A18,Cronograma!$N$6:$N$53,"&gt;="&amp;D$13,Cronograma!$N$6:$N$53,"&lt;"&amp;EDATE(D$13,1))+COUNTIFS(Cronograma!$C$6:$C$53,$A18,Cronograma!$Q$6:$Q$53,"&gt;="&amp;D$13,Cronograma!$Q$6:$Q$53,"&lt;"&amp;EDATE(D$13,1))+COUNTIFS(Cronograma!$C$6:$C$53,$A18,Cronograma!$R$6:$R$53,"&gt;="&amp;D$13,Cronograma!$R$6:$R$53,"&lt;"&amp;EDATE(D$13,1))+COUNTIFS(Cronograma!$C$6:$C$53,$A18,Cronograma!$S$6:$S$53,"&gt;="&amp;D$13,Cronograma!$S$6:$S$53,"&lt;"&amp;EDATE(D$13,1))</f>
        <v>0</v>
      </c>
      <c r="E18" s="25" t="n">
        <f aca="false">COUNTIFS(Cronograma!$C$6:$C$53,$A18,Cronograma!$N$6:$N$53,"&gt;="&amp;E$13,Cronograma!$N$6:$N$53,"&lt;"&amp;EDATE(E$13,1))+COUNTIFS(Cronograma!$C$6:$C$53,$A18,Cronograma!$Q$6:$Q$53,"&gt;="&amp;E$13,Cronograma!$Q$6:$Q$53,"&lt;"&amp;EDATE(E$13,1))+COUNTIFS(Cronograma!$C$6:$C$53,$A18,Cronograma!$R$6:$R$53,"&gt;="&amp;E$13,Cronograma!$R$6:$R$53,"&lt;"&amp;EDATE(E$13,1))+COUNTIFS(Cronograma!$C$6:$C$53,$A18,Cronograma!$S$6:$S$53,"&gt;="&amp;E$13,Cronograma!$S$6:$S$53,"&lt;"&amp;EDATE(E$13,1))</f>
        <v>0</v>
      </c>
      <c r="F18" s="25" t="n">
        <f aca="false">COUNTIFS(Cronograma!$C$6:$C$53,$A18,Cronograma!$N$6:$N$53,"&gt;="&amp;F$13,Cronograma!$N$6:$N$53,"&lt;"&amp;EDATE(F$13,1))+COUNTIFS(Cronograma!$C$6:$C$53,$A18,Cronograma!$Q$6:$Q$53,"&gt;="&amp;F$13,Cronograma!$Q$6:$Q$53,"&lt;"&amp;EDATE(F$13,1))+COUNTIFS(Cronograma!$C$6:$C$53,$A18,Cronograma!$R$6:$R$53,"&gt;="&amp;F$13,Cronograma!$R$6:$R$53,"&lt;"&amp;EDATE(F$13,1))+COUNTIFS(Cronograma!$C$6:$C$53,$A18,Cronograma!$S$6:$S$53,"&gt;="&amp;F$13,Cronograma!$S$6:$S$53,"&lt;"&amp;EDATE(F$13,1))</f>
        <v>0</v>
      </c>
      <c r="G18" s="25" t="n">
        <f aca="false">COUNTIFS(Cronograma!$C$6:$C$53,$A18,Cronograma!$N$6:$N$53,"&gt;="&amp;G$13,Cronograma!$N$6:$N$53,"&lt;"&amp;EDATE(G$13,1))+COUNTIFS(Cronograma!$C$6:$C$53,$A18,Cronograma!$Q$6:$Q$53,"&gt;="&amp;G$13,Cronograma!$Q$6:$Q$53,"&lt;"&amp;EDATE(G$13,1))+COUNTIFS(Cronograma!$C$6:$C$53,$A18,Cronograma!$R$6:$R$53,"&gt;="&amp;G$13,Cronograma!$R$6:$R$53,"&lt;"&amp;EDATE(G$13,1))+COUNTIFS(Cronograma!$C$6:$C$53,$A18,Cronograma!$S$6:$S$53,"&gt;="&amp;G$13,Cronograma!$S$6:$S$53,"&lt;"&amp;EDATE(G$13,1))</f>
        <v>0</v>
      </c>
      <c r="H18" s="25" t="n">
        <f aca="false">COUNTIFS(Cronograma!$C$6:$C$53,$A18,Cronograma!$N$6:$N$53,"&gt;="&amp;H$13,Cronograma!$N$6:$N$53,"&lt;"&amp;EDATE(H$13,1))+COUNTIFS(Cronograma!$C$6:$C$53,$A18,Cronograma!$Q$6:$Q$53,"&gt;="&amp;H$13,Cronograma!$Q$6:$Q$53,"&lt;"&amp;EDATE(H$13,1))+COUNTIFS(Cronograma!$C$6:$C$53,$A18,Cronograma!$R$6:$R$53,"&gt;="&amp;H$13,Cronograma!$R$6:$R$53,"&lt;"&amp;EDATE(H$13,1))+COUNTIFS(Cronograma!$C$6:$C$53,$A18,Cronograma!$S$6:$S$53,"&gt;="&amp;H$13,Cronograma!$S$6:$S$53,"&lt;"&amp;EDATE(H$13,1))</f>
        <v>22</v>
      </c>
      <c r="I18" s="25" t="n">
        <f aca="false">COUNTIFS(Cronograma!$C$6:$C$53,$A18,Cronograma!$N$6:$N$53,"&gt;="&amp;I$13,Cronograma!$N$6:$N$53,"&lt;"&amp;EDATE(I$13,1))+COUNTIFS(Cronograma!$C$6:$C$53,$A18,Cronograma!$Q$6:$Q$53,"&gt;="&amp;I$13,Cronograma!$Q$6:$Q$53,"&lt;"&amp;EDATE(I$13,1))+COUNTIFS(Cronograma!$C$6:$C$53,$A18,Cronograma!$R$6:$R$53,"&gt;="&amp;I$13,Cronograma!$R$6:$R$53,"&lt;"&amp;EDATE(I$13,1))+COUNTIFS(Cronograma!$C$6:$C$53,$A18,Cronograma!$S$6:$S$53,"&gt;="&amp;I$13,Cronograma!$S$6:$S$53,"&lt;"&amp;EDATE(I$13,1))</f>
        <v>0</v>
      </c>
      <c r="J18" s="25" t="n">
        <f aca="false">COUNTIFS(Cronograma!$C$6:$C$53,$A18,Cronograma!$N$6:$N$53,"&gt;="&amp;J$13,Cronograma!$N$6:$N$53,"&lt;"&amp;EDATE(J$13,1))+COUNTIFS(Cronograma!$C$6:$C$53,$A18,Cronograma!$Q$6:$Q$53,"&gt;="&amp;J$13,Cronograma!$Q$6:$Q$53,"&lt;"&amp;EDATE(J$13,1))+COUNTIFS(Cronograma!$C$6:$C$53,$A18,Cronograma!$R$6:$R$53,"&gt;="&amp;J$13,Cronograma!$R$6:$R$53,"&lt;"&amp;EDATE(J$13,1))+COUNTIFS(Cronograma!$C$6:$C$53,$A18,Cronograma!$S$6:$S$53,"&gt;="&amp;J$13,Cronograma!$S$6:$S$53,"&lt;"&amp;EDATE(J$13,1))</f>
        <v>0</v>
      </c>
      <c r="K18" s="25" t="n">
        <f aca="false">COUNTIFS(Cronograma!$C$6:$C$53,$A18,Cronograma!$N$6:$N$53,"&gt;="&amp;K$13,Cronograma!$N$6:$N$53,"&lt;"&amp;EDATE(K$13,1))+COUNTIFS(Cronograma!$C$6:$C$53,$A18,Cronograma!$Q$6:$Q$53,"&gt;="&amp;K$13,Cronograma!$Q$6:$Q$53,"&lt;"&amp;EDATE(K$13,1))+COUNTIFS(Cronograma!$C$6:$C$53,$A18,Cronograma!$R$6:$R$53,"&gt;="&amp;K$13,Cronograma!$R$6:$R$53,"&lt;"&amp;EDATE(K$13,1))+COUNTIFS(Cronograma!$C$6:$C$53,$A18,Cronograma!$S$6:$S$53,"&gt;="&amp;K$13,Cronograma!$S$6:$S$53,"&lt;"&amp;EDATE(K$13,1))</f>
        <v>0</v>
      </c>
      <c r="L18" s="25" t="n">
        <f aca="false">COUNTIFS(Cronograma!$C$6:$C$53,$A18,Cronograma!$N$6:$N$53,"&gt;="&amp;L$13,Cronograma!$N$6:$N$53,"&lt;"&amp;EDATE(L$13,1))+COUNTIFS(Cronograma!$C$6:$C$53,$A18,Cronograma!$Q$6:$Q$53,"&gt;="&amp;L$13,Cronograma!$Q$6:$Q$53,"&lt;"&amp;EDATE(L$13,1))+COUNTIFS(Cronograma!$C$6:$C$53,$A18,Cronograma!$R$6:$R$53,"&gt;="&amp;L$13,Cronograma!$R$6:$R$53,"&lt;"&amp;EDATE(L$13,1))+COUNTIFS(Cronograma!$C$6:$C$53,$A18,Cronograma!$S$6:$S$53,"&gt;="&amp;L$13,Cronograma!$S$6:$S$53,"&lt;"&amp;EDATE(L$13,1))</f>
        <v>0</v>
      </c>
      <c r="M18" s="25" t="n">
        <f aca="false">COUNTIFS(Cronograma!$C$6:$C$53,$A18,Cronograma!$N$6:$N$53,"&gt;="&amp;M$13,Cronograma!$N$6:$N$53,"&lt;"&amp;EDATE(M$13,1))+COUNTIFS(Cronograma!$C$6:$C$53,$A18,Cronograma!$Q$6:$Q$53,"&gt;="&amp;M$13,Cronograma!$Q$6:$Q$53,"&lt;"&amp;EDATE(M$13,1))+COUNTIFS(Cronograma!$C$6:$C$53,$A18,Cronograma!$R$6:$R$53,"&gt;="&amp;M$13,Cronograma!$R$6:$R$53,"&lt;"&amp;EDATE(M$13,1))+COUNTIFS(Cronograma!$C$6:$C$53,$A18,Cronograma!$S$6:$S$53,"&gt;="&amp;M$13,Cronograma!$S$6:$S$53,"&lt;"&amp;EDATE(M$13,1))</f>
        <v>0</v>
      </c>
      <c r="N18" s="25" t="n">
        <f aca="false">COUNTIFS(Cronograma!$C$6:$C$53,$A18,Cronograma!$N$6:$N$53,"&gt;="&amp;N$13,Cronograma!$N$6:$N$53,"&lt;"&amp;EDATE(N$13,1))+COUNTIFS(Cronograma!$C$6:$C$53,$A18,Cronograma!$Q$6:$Q$53,"&gt;="&amp;N$13,Cronograma!$Q$6:$Q$53,"&lt;"&amp;EDATE(N$13,1))+COUNTIFS(Cronograma!$C$6:$C$53,$A18,Cronograma!$R$6:$R$53,"&gt;="&amp;N$13,Cronograma!$R$6:$R$53,"&lt;"&amp;EDATE(N$13,1))+COUNTIFS(Cronograma!$C$6:$C$53,$A18,Cronograma!$S$6:$S$53,"&gt;="&amp;N$13,Cronograma!$S$6:$S$53,"&lt;"&amp;EDATE(N$13,1))</f>
        <v>22</v>
      </c>
      <c r="O18" s="25" t="n">
        <f aca="false">COUNTIFS(Cronograma!$C$6:$C$53,$A18,Cronograma!$N$6:$N$53,"&gt;="&amp;O$13,Cronograma!$N$6:$N$53,"&lt;"&amp;EDATE(O$13,1))+COUNTIFS(Cronograma!$C$6:$C$53,$A18,Cronograma!$Q$6:$Q$53,"&gt;="&amp;O$13,Cronograma!$Q$6:$Q$53,"&lt;"&amp;EDATE(O$13,1))+COUNTIFS(Cronograma!$C$6:$C$53,$A18,Cronograma!$R$6:$R$53,"&gt;="&amp;O$13,Cronograma!$R$6:$R$53,"&lt;"&amp;EDATE(O$13,1))+COUNTIFS(Cronograma!$C$6:$C$53,$A18,Cronograma!$S$6:$S$53,"&gt;="&amp;O$13,Cronograma!$S$6:$S$53,"&lt;"&amp;EDATE(O$13,1))</f>
        <v>0</v>
      </c>
      <c r="P18" s="25" t="n">
        <f aca="false">COUNTIFS(Cronograma!$C$6:$C$53,$A18,Cronograma!$N$6:$N$53,"&gt;="&amp;P$13,Cronograma!$N$6:$N$53,"&lt;"&amp;EDATE(P$13,1))+COUNTIFS(Cronograma!$C$6:$C$53,$A18,Cronograma!$Q$6:$Q$53,"&gt;="&amp;P$13,Cronograma!$Q$6:$Q$53,"&lt;"&amp;EDATE(P$13,1))+COUNTIFS(Cronograma!$C$6:$C$53,$A18,Cronograma!$R$6:$R$53,"&gt;="&amp;P$13,Cronograma!$R$6:$R$53,"&lt;"&amp;EDATE(P$13,1))+COUNTIFS(Cronograma!$C$6:$C$53,$A18,Cronograma!$S$6:$S$53,"&gt;="&amp;P$13,Cronograma!$S$6:$S$53,"&lt;"&amp;EDATE(P$13,1))</f>
        <v>0</v>
      </c>
      <c r="Q18" s="25" t="n">
        <f aca="false">COUNTIFS(Cronograma!$C$6:$C$53,$A18,Cronograma!$N$6:$N$53,"&gt;="&amp;Q$13,Cronograma!$N$6:$N$53,"&lt;"&amp;EDATE(Q$13,1))+COUNTIFS(Cronograma!$C$6:$C$53,$A18,Cronograma!$Q$6:$Q$53,"&gt;="&amp;Q$13,Cronograma!$Q$6:$Q$53,"&lt;"&amp;EDATE(Q$13,1))+COUNTIFS(Cronograma!$C$6:$C$53,$A18,Cronograma!$R$6:$R$53,"&gt;="&amp;Q$13,Cronograma!$R$6:$R$53,"&lt;"&amp;EDATE(Q$13,1))+COUNTIFS(Cronograma!$C$6:$C$53,$A18,Cronograma!$S$6:$S$53,"&gt;="&amp;Q$13,Cronograma!$S$6:$S$53,"&lt;"&amp;EDATE(Q$13,1))</f>
        <v>0</v>
      </c>
      <c r="R18" s="25" t="n">
        <f aca="false">COUNTIFS(Cronograma!$C$6:$C$53,$A18,Cronograma!$N$6:$N$53,"&gt;="&amp;R$13,Cronograma!$N$6:$N$53,"&lt;"&amp;EDATE(R$13,1))+COUNTIFS(Cronograma!$C$6:$C$53,$A18,Cronograma!$Q$6:$Q$53,"&gt;="&amp;R$13,Cronograma!$Q$6:$Q$53,"&lt;"&amp;EDATE(R$13,1))+COUNTIFS(Cronograma!$C$6:$C$53,$A18,Cronograma!$R$6:$R$53,"&gt;="&amp;R$13,Cronograma!$R$6:$R$53,"&lt;"&amp;EDATE(R$13,1))+COUNTIFS(Cronograma!$C$6:$C$53,$A18,Cronograma!$S$6:$S$53,"&gt;="&amp;R$13,Cronograma!$S$6:$S$53,"&lt;"&amp;EDATE(R$13,1))</f>
        <v>0</v>
      </c>
      <c r="S18" s="25" t="n">
        <f aca="false">COUNTIFS(Cronograma!$C$6:$C$53,$A18,Cronograma!$N$6:$N$53,"&gt;="&amp;S$13,Cronograma!$N$6:$N$53,"&lt;"&amp;EDATE(S$13,1))+COUNTIFS(Cronograma!$C$6:$C$53,$A18,Cronograma!$Q$6:$Q$53,"&gt;="&amp;S$13,Cronograma!$Q$6:$Q$53,"&lt;"&amp;EDATE(S$13,1))+COUNTIFS(Cronograma!$C$6:$C$53,$A18,Cronograma!$R$6:$R$53,"&gt;="&amp;S$13,Cronograma!$R$6:$R$53,"&lt;"&amp;EDATE(S$13,1))+COUNTIFS(Cronograma!$C$6:$C$53,$A18,Cronograma!$S$6:$S$53,"&gt;="&amp;S$13,Cronograma!$S$6:$S$53,"&lt;"&amp;EDATE(S$13,1))</f>
        <v>0</v>
      </c>
      <c r="T18" s="25" t="n">
        <f aca="false">COUNTIFS(Cronograma!$C$6:$C$53,$A18,Cronograma!$N$6:$N$53,"&gt;="&amp;T$13,Cronograma!$N$6:$N$53,"&lt;"&amp;EDATE(T$13,1))+COUNTIFS(Cronograma!$C$6:$C$53,$A18,Cronograma!$Q$6:$Q$53,"&gt;="&amp;T$13,Cronograma!$Q$6:$Q$53,"&lt;"&amp;EDATE(T$13,1))+COUNTIFS(Cronograma!$C$6:$C$53,$A18,Cronograma!$R$6:$R$53,"&gt;="&amp;T$13,Cronograma!$R$6:$R$53,"&lt;"&amp;EDATE(T$13,1))+COUNTIFS(Cronograma!$C$6:$C$53,$A18,Cronograma!$S$6:$S$53,"&gt;="&amp;T$13,Cronograma!$S$6:$S$53,"&lt;"&amp;EDATE(T$13,1))</f>
        <v>22</v>
      </c>
      <c r="U18" s="25" t="n">
        <f aca="false">COUNTIFS(Cronograma!$C$6:$C$53,$A18,Cronograma!$N$6:$N$53,"&gt;="&amp;U$13,Cronograma!$N$6:$N$53,"&lt;"&amp;EDATE(U$13,1))+COUNTIFS(Cronograma!$C$6:$C$53,$A18,Cronograma!$Q$6:$Q$53,"&gt;="&amp;U$13,Cronograma!$Q$6:$Q$53,"&lt;"&amp;EDATE(U$13,1))+COUNTIFS(Cronograma!$C$6:$C$53,$A18,Cronograma!$R$6:$R$53,"&gt;="&amp;U$13,Cronograma!$R$6:$R$53,"&lt;"&amp;EDATE(U$13,1))+COUNTIFS(Cronograma!$C$6:$C$53,$A18,Cronograma!$S$6:$S$53,"&gt;="&amp;U$13,Cronograma!$S$6:$S$53,"&lt;"&amp;EDATE(U$13,1))</f>
        <v>0</v>
      </c>
      <c r="V18" s="25" t="n">
        <f aca="false">COUNTIFS(Cronograma!$C$6:$C$53,$A18,Cronograma!$N$6:$N$53,"&gt;="&amp;V$13,Cronograma!$N$6:$N$53,"&lt;"&amp;EDATE(V$13,1))+COUNTIFS(Cronograma!$C$6:$C$53,$A18,Cronograma!$Q$6:$Q$53,"&gt;="&amp;V$13,Cronograma!$Q$6:$Q$53,"&lt;"&amp;EDATE(V$13,1))+COUNTIFS(Cronograma!$C$6:$C$53,$A18,Cronograma!$R$6:$R$53,"&gt;="&amp;V$13,Cronograma!$R$6:$R$53,"&lt;"&amp;EDATE(V$13,1))+COUNTIFS(Cronograma!$C$6:$C$53,$A18,Cronograma!$S$6:$S$53,"&gt;="&amp;V$13,Cronograma!$S$6:$S$53,"&lt;"&amp;EDATE(V$13,1))</f>
        <v>0</v>
      </c>
      <c r="W18" s="25" t="n">
        <f aca="false">COUNTIFS(Cronograma!$C$6:$C$53,$A18,Cronograma!$N$6:$N$53,"&gt;="&amp;W$13,Cronograma!$N$6:$N$53,"&lt;"&amp;EDATE(W$13,1))+COUNTIFS(Cronograma!$C$6:$C$53,$A18,Cronograma!$Q$6:$Q$53,"&gt;="&amp;W$13,Cronograma!$Q$6:$Q$53,"&lt;"&amp;EDATE(W$13,1))+COUNTIFS(Cronograma!$C$6:$C$53,$A18,Cronograma!$R$6:$R$53,"&gt;="&amp;W$13,Cronograma!$R$6:$R$53,"&lt;"&amp;EDATE(W$13,1))+COUNTIFS(Cronograma!$C$6:$C$53,$A18,Cronograma!$S$6:$S$53,"&gt;="&amp;W$13,Cronograma!$S$6:$S$53,"&lt;"&amp;EDATE(W$13,1))</f>
        <v>0</v>
      </c>
      <c r="X18" s="25" t="n">
        <f aca="false">COUNTIFS(Cronograma!$C$6:$C$53,$A18,Cronograma!$N$6:$N$53,"&gt;="&amp;X$13,Cronograma!$N$6:$N$53,"&lt;"&amp;EDATE(X$13,1))+COUNTIFS(Cronograma!$C$6:$C$53,$A18,Cronograma!$Q$6:$Q$53,"&gt;="&amp;X$13,Cronograma!$Q$6:$Q$53,"&lt;"&amp;EDATE(X$13,1))+COUNTIFS(Cronograma!$C$6:$C$53,$A18,Cronograma!$R$6:$R$53,"&gt;="&amp;X$13,Cronograma!$R$6:$R$53,"&lt;"&amp;EDATE(X$13,1))+COUNTIFS(Cronograma!$C$6:$C$53,$A18,Cronograma!$S$6:$S$53,"&gt;="&amp;X$13,Cronograma!$S$6:$S$53,"&lt;"&amp;EDATE(X$13,1))</f>
        <v>0</v>
      </c>
      <c r="Y18" s="25" t="n">
        <f aca="false">COUNTIFS(Cronograma!$C$6:$C$53,$A18,Cronograma!$N$6:$N$53,"&gt;="&amp;Y$13,Cronograma!$N$6:$N$53,"&lt;"&amp;EDATE(Y$13,1))+COUNTIFS(Cronograma!$C$6:$C$53,$A18,Cronograma!$Q$6:$Q$53,"&gt;="&amp;Y$13,Cronograma!$Q$6:$Q$53,"&lt;"&amp;EDATE(Y$13,1))+COUNTIFS(Cronograma!$C$6:$C$53,$A18,Cronograma!$R$6:$R$53,"&gt;="&amp;Y$13,Cronograma!$R$6:$R$53,"&lt;"&amp;EDATE(Y$13,1))+COUNTIFS(Cronograma!$C$6:$C$53,$A18,Cronograma!$S$6:$S$53,"&gt;="&amp;Y$13,Cronograma!$S$6:$S$53,"&lt;"&amp;EDATE(Y$13,1))</f>
        <v>0</v>
      </c>
      <c r="Z18" s="4" t="n">
        <f aca="false">SUM(B18:Y18)</f>
        <v>88</v>
      </c>
    </row>
    <row r="19" customFormat="false" ht="15" hidden="false" customHeight="false" outlineLevel="0" collapsed="false">
      <c r="A19" s="24" t="s">
        <v>167</v>
      </c>
      <c r="B19" s="25" t="n">
        <f aca="false">COUNTIFS(Cronograma!$C$6:$C$53,$A19,Cronograma!$N$6:$N$53,"&gt;="&amp;B$13,Cronograma!$N$6:$N$53,"&lt;"&amp;EDATE(B$13,1))+COUNTIFS(Cronograma!$C$6:$C$53,$A19,Cronograma!$Q$6:$Q$53,"&gt;="&amp;B$13,Cronograma!$Q$6:$Q$53,"&lt;"&amp;EDATE(B$13,1))+COUNTIFS(Cronograma!$C$6:$C$53,$A19,Cronograma!$R$6:$R$53,"&gt;="&amp;B$13,Cronograma!$R$6:$R$53,"&lt;"&amp;EDATE(B$13,1))+COUNTIFS(Cronograma!$C$6:$C$53,$A19,Cronograma!$S$6:$S$53,"&gt;="&amp;B$13,Cronograma!$S$6:$S$53,"&lt;"&amp;EDATE(B$13,1))</f>
        <v>0</v>
      </c>
      <c r="C19" s="25" t="n">
        <f aca="false">COUNTIFS(Cronograma!$C$6:$C$53,$A19,Cronograma!$N$6:$N$53,"&gt;="&amp;C$13,Cronograma!$N$6:$N$53,"&lt;"&amp;EDATE(C$13,1))+COUNTIFS(Cronograma!$C$6:$C$53,$A19,Cronograma!$Q$6:$Q$53,"&gt;="&amp;C$13,Cronograma!$Q$6:$Q$53,"&lt;"&amp;EDATE(C$13,1))+COUNTIFS(Cronograma!$C$6:$C$53,$A19,Cronograma!$R$6:$R$53,"&gt;="&amp;C$13,Cronograma!$R$6:$R$53,"&lt;"&amp;EDATE(C$13,1))+COUNTIFS(Cronograma!$C$6:$C$53,$A19,Cronograma!$S$6:$S$53,"&gt;="&amp;C$13,Cronograma!$S$6:$S$53,"&lt;"&amp;EDATE(C$13,1))</f>
        <v>0</v>
      </c>
      <c r="D19" s="25" t="n">
        <f aca="false">COUNTIFS(Cronograma!$C$6:$C$53,$A19,Cronograma!$N$6:$N$53,"&gt;="&amp;D$13,Cronograma!$N$6:$N$53,"&lt;"&amp;EDATE(D$13,1))+COUNTIFS(Cronograma!$C$6:$C$53,$A19,Cronograma!$Q$6:$Q$53,"&gt;="&amp;D$13,Cronograma!$Q$6:$Q$53,"&lt;"&amp;EDATE(D$13,1))+COUNTIFS(Cronograma!$C$6:$C$53,$A19,Cronograma!$R$6:$R$53,"&gt;="&amp;D$13,Cronograma!$R$6:$R$53,"&lt;"&amp;EDATE(D$13,1))+COUNTIFS(Cronograma!$C$6:$C$53,$A19,Cronograma!$S$6:$S$53,"&gt;="&amp;D$13,Cronograma!$S$6:$S$53,"&lt;"&amp;EDATE(D$13,1))</f>
        <v>0</v>
      </c>
      <c r="E19" s="25" t="n">
        <f aca="false">COUNTIFS(Cronograma!$C$6:$C$53,$A19,Cronograma!$N$6:$N$53,"&gt;="&amp;E$13,Cronograma!$N$6:$N$53,"&lt;"&amp;EDATE(E$13,1))+COUNTIFS(Cronograma!$C$6:$C$53,$A19,Cronograma!$Q$6:$Q$53,"&gt;="&amp;E$13,Cronograma!$Q$6:$Q$53,"&lt;"&amp;EDATE(E$13,1))+COUNTIFS(Cronograma!$C$6:$C$53,$A19,Cronograma!$R$6:$R$53,"&gt;="&amp;E$13,Cronograma!$R$6:$R$53,"&lt;"&amp;EDATE(E$13,1))+COUNTIFS(Cronograma!$C$6:$C$53,$A19,Cronograma!$S$6:$S$53,"&gt;="&amp;E$13,Cronograma!$S$6:$S$53,"&lt;"&amp;EDATE(E$13,1))</f>
        <v>0</v>
      </c>
      <c r="F19" s="25" t="n">
        <f aca="false">COUNTIFS(Cronograma!$C$6:$C$53,$A19,Cronograma!$N$6:$N$53,"&gt;="&amp;F$13,Cronograma!$N$6:$N$53,"&lt;"&amp;EDATE(F$13,1))+COUNTIFS(Cronograma!$C$6:$C$53,$A19,Cronograma!$Q$6:$Q$53,"&gt;="&amp;F$13,Cronograma!$Q$6:$Q$53,"&lt;"&amp;EDATE(F$13,1))+COUNTIFS(Cronograma!$C$6:$C$53,$A19,Cronograma!$R$6:$R$53,"&gt;="&amp;F$13,Cronograma!$R$6:$R$53,"&lt;"&amp;EDATE(F$13,1))+COUNTIFS(Cronograma!$C$6:$C$53,$A19,Cronograma!$S$6:$S$53,"&gt;="&amp;F$13,Cronograma!$S$6:$S$53,"&lt;"&amp;EDATE(F$13,1))</f>
        <v>1</v>
      </c>
      <c r="G19" s="25" t="n">
        <f aca="false">COUNTIFS(Cronograma!$C$6:$C$53,$A19,Cronograma!$N$6:$N$53,"&gt;="&amp;G$13,Cronograma!$N$6:$N$53,"&lt;"&amp;EDATE(G$13,1))+COUNTIFS(Cronograma!$C$6:$C$53,$A19,Cronograma!$Q$6:$Q$53,"&gt;="&amp;G$13,Cronograma!$Q$6:$Q$53,"&lt;"&amp;EDATE(G$13,1))+COUNTIFS(Cronograma!$C$6:$C$53,$A19,Cronograma!$R$6:$R$53,"&gt;="&amp;G$13,Cronograma!$R$6:$R$53,"&lt;"&amp;EDATE(G$13,1))+COUNTIFS(Cronograma!$C$6:$C$53,$A19,Cronograma!$S$6:$S$53,"&gt;="&amp;G$13,Cronograma!$S$6:$S$53,"&lt;"&amp;EDATE(G$13,1))</f>
        <v>0</v>
      </c>
      <c r="H19" s="25" t="n">
        <f aca="false">COUNTIFS(Cronograma!$C$6:$C$53,$A19,Cronograma!$N$6:$N$53,"&gt;="&amp;H$13,Cronograma!$N$6:$N$53,"&lt;"&amp;EDATE(H$13,1))+COUNTIFS(Cronograma!$C$6:$C$53,$A19,Cronograma!$Q$6:$Q$53,"&gt;="&amp;H$13,Cronograma!$Q$6:$Q$53,"&lt;"&amp;EDATE(H$13,1))+COUNTIFS(Cronograma!$C$6:$C$53,$A19,Cronograma!$R$6:$R$53,"&gt;="&amp;H$13,Cronograma!$R$6:$R$53,"&lt;"&amp;EDATE(H$13,1))+COUNTIFS(Cronograma!$C$6:$C$53,$A19,Cronograma!$S$6:$S$53,"&gt;="&amp;H$13,Cronograma!$S$6:$S$53,"&lt;"&amp;EDATE(H$13,1))</f>
        <v>0</v>
      </c>
      <c r="I19" s="25" t="n">
        <f aca="false">COUNTIFS(Cronograma!$C$6:$C$53,$A19,Cronograma!$N$6:$N$53,"&gt;="&amp;I$13,Cronograma!$N$6:$N$53,"&lt;"&amp;EDATE(I$13,1))+COUNTIFS(Cronograma!$C$6:$C$53,$A19,Cronograma!$Q$6:$Q$53,"&gt;="&amp;I$13,Cronograma!$Q$6:$Q$53,"&lt;"&amp;EDATE(I$13,1))+COUNTIFS(Cronograma!$C$6:$C$53,$A19,Cronograma!$R$6:$R$53,"&gt;="&amp;I$13,Cronograma!$R$6:$R$53,"&lt;"&amp;EDATE(I$13,1))+COUNTIFS(Cronograma!$C$6:$C$53,$A19,Cronograma!$S$6:$S$53,"&gt;="&amp;I$13,Cronograma!$S$6:$S$53,"&lt;"&amp;EDATE(I$13,1))</f>
        <v>0</v>
      </c>
      <c r="J19" s="25" t="n">
        <f aca="false">COUNTIFS(Cronograma!$C$6:$C$53,$A19,Cronograma!$N$6:$N$53,"&gt;="&amp;J$13,Cronograma!$N$6:$N$53,"&lt;"&amp;EDATE(J$13,1))+COUNTIFS(Cronograma!$C$6:$C$53,$A19,Cronograma!$Q$6:$Q$53,"&gt;="&amp;J$13,Cronograma!$Q$6:$Q$53,"&lt;"&amp;EDATE(J$13,1))+COUNTIFS(Cronograma!$C$6:$C$53,$A19,Cronograma!$R$6:$R$53,"&gt;="&amp;J$13,Cronograma!$R$6:$R$53,"&lt;"&amp;EDATE(J$13,1))+COUNTIFS(Cronograma!$C$6:$C$53,$A19,Cronograma!$S$6:$S$53,"&gt;="&amp;J$13,Cronograma!$S$6:$S$53,"&lt;"&amp;EDATE(J$13,1))</f>
        <v>0</v>
      </c>
      <c r="K19" s="25" t="n">
        <f aca="false">COUNTIFS(Cronograma!$C$6:$C$53,$A19,Cronograma!$N$6:$N$53,"&gt;="&amp;K$13,Cronograma!$N$6:$N$53,"&lt;"&amp;EDATE(K$13,1))+COUNTIFS(Cronograma!$C$6:$C$53,$A19,Cronograma!$Q$6:$Q$53,"&gt;="&amp;K$13,Cronograma!$Q$6:$Q$53,"&lt;"&amp;EDATE(K$13,1))+COUNTIFS(Cronograma!$C$6:$C$53,$A19,Cronograma!$R$6:$R$53,"&gt;="&amp;K$13,Cronograma!$R$6:$R$53,"&lt;"&amp;EDATE(K$13,1))+COUNTIFS(Cronograma!$C$6:$C$53,$A19,Cronograma!$S$6:$S$53,"&gt;="&amp;K$13,Cronograma!$S$6:$S$53,"&lt;"&amp;EDATE(K$13,1))</f>
        <v>0</v>
      </c>
      <c r="L19" s="25" t="n">
        <f aca="false">COUNTIFS(Cronograma!$C$6:$C$53,$A19,Cronograma!$N$6:$N$53,"&gt;="&amp;L$13,Cronograma!$N$6:$N$53,"&lt;"&amp;EDATE(L$13,1))+COUNTIFS(Cronograma!$C$6:$C$53,$A19,Cronograma!$Q$6:$Q$53,"&gt;="&amp;L$13,Cronograma!$Q$6:$Q$53,"&lt;"&amp;EDATE(L$13,1))+COUNTIFS(Cronograma!$C$6:$C$53,$A19,Cronograma!$R$6:$R$53,"&gt;="&amp;L$13,Cronograma!$R$6:$R$53,"&lt;"&amp;EDATE(L$13,1))+COUNTIFS(Cronograma!$C$6:$C$53,$A19,Cronograma!$S$6:$S$53,"&gt;="&amp;L$13,Cronograma!$S$6:$S$53,"&lt;"&amp;EDATE(L$13,1))</f>
        <v>1</v>
      </c>
      <c r="M19" s="25" t="n">
        <f aca="false">COUNTIFS(Cronograma!$C$6:$C$53,$A19,Cronograma!$N$6:$N$53,"&gt;="&amp;M$13,Cronograma!$N$6:$N$53,"&lt;"&amp;EDATE(M$13,1))+COUNTIFS(Cronograma!$C$6:$C$53,$A19,Cronograma!$Q$6:$Q$53,"&gt;="&amp;M$13,Cronograma!$Q$6:$Q$53,"&lt;"&amp;EDATE(M$13,1))+COUNTIFS(Cronograma!$C$6:$C$53,$A19,Cronograma!$R$6:$R$53,"&gt;="&amp;M$13,Cronograma!$R$6:$R$53,"&lt;"&amp;EDATE(M$13,1))+COUNTIFS(Cronograma!$C$6:$C$53,$A19,Cronograma!$S$6:$S$53,"&gt;="&amp;M$13,Cronograma!$S$6:$S$53,"&lt;"&amp;EDATE(M$13,1))</f>
        <v>0</v>
      </c>
      <c r="N19" s="25" t="n">
        <f aca="false">COUNTIFS(Cronograma!$C$6:$C$53,$A19,Cronograma!$N$6:$N$53,"&gt;="&amp;N$13,Cronograma!$N$6:$N$53,"&lt;"&amp;EDATE(N$13,1))+COUNTIFS(Cronograma!$C$6:$C$53,$A19,Cronograma!$Q$6:$Q$53,"&gt;="&amp;N$13,Cronograma!$Q$6:$Q$53,"&lt;"&amp;EDATE(N$13,1))+COUNTIFS(Cronograma!$C$6:$C$53,$A19,Cronograma!$R$6:$R$53,"&gt;="&amp;N$13,Cronograma!$R$6:$R$53,"&lt;"&amp;EDATE(N$13,1))+COUNTIFS(Cronograma!$C$6:$C$53,$A19,Cronograma!$S$6:$S$53,"&gt;="&amp;N$13,Cronograma!$S$6:$S$53,"&lt;"&amp;EDATE(N$13,1))</f>
        <v>0</v>
      </c>
      <c r="O19" s="25" t="n">
        <f aca="false">COUNTIFS(Cronograma!$C$6:$C$53,$A19,Cronograma!$N$6:$N$53,"&gt;="&amp;O$13,Cronograma!$N$6:$N$53,"&lt;"&amp;EDATE(O$13,1))+COUNTIFS(Cronograma!$C$6:$C$53,$A19,Cronograma!$Q$6:$Q$53,"&gt;="&amp;O$13,Cronograma!$Q$6:$Q$53,"&lt;"&amp;EDATE(O$13,1))+COUNTIFS(Cronograma!$C$6:$C$53,$A19,Cronograma!$R$6:$R$53,"&gt;="&amp;O$13,Cronograma!$R$6:$R$53,"&lt;"&amp;EDATE(O$13,1))+COUNTIFS(Cronograma!$C$6:$C$53,$A19,Cronograma!$S$6:$S$53,"&gt;="&amp;O$13,Cronograma!$S$6:$S$53,"&lt;"&amp;EDATE(O$13,1))</f>
        <v>0</v>
      </c>
      <c r="P19" s="25" t="n">
        <f aca="false">COUNTIFS(Cronograma!$C$6:$C$53,$A19,Cronograma!$N$6:$N$53,"&gt;="&amp;P$13,Cronograma!$N$6:$N$53,"&lt;"&amp;EDATE(P$13,1))+COUNTIFS(Cronograma!$C$6:$C$53,$A19,Cronograma!$Q$6:$Q$53,"&gt;="&amp;P$13,Cronograma!$Q$6:$Q$53,"&lt;"&amp;EDATE(P$13,1))+COUNTIFS(Cronograma!$C$6:$C$53,$A19,Cronograma!$R$6:$R$53,"&gt;="&amp;P$13,Cronograma!$R$6:$R$53,"&lt;"&amp;EDATE(P$13,1))+COUNTIFS(Cronograma!$C$6:$C$53,$A19,Cronograma!$S$6:$S$53,"&gt;="&amp;P$13,Cronograma!$S$6:$S$53,"&lt;"&amp;EDATE(P$13,1))</f>
        <v>0</v>
      </c>
      <c r="Q19" s="25" t="n">
        <f aca="false">COUNTIFS(Cronograma!$C$6:$C$53,$A19,Cronograma!$N$6:$N$53,"&gt;="&amp;Q$13,Cronograma!$N$6:$N$53,"&lt;"&amp;EDATE(Q$13,1))+COUNTIFS(Cronograma!$C$6:$C$53,$A19,Cronograma!$Q$6:$Q$53,"&gt;="&amp;Q$13,Cronograma!$Q$6:$Q$53,"&lt;"&amp;EDATE(Q$13,1))+COUNTIFS(Cronograma!$C$6:$C$53,$A19,Cronograma!$R$6:$R$53,"&gt;="&amp;Q$13,Cronograma!$R$6:$R$53,"&lt;"&amp;EDATE(Q$13,1))+COUNTIFS(Cronograma!$C$6:$C$53,$A19,Cronograma!$S$6:$S$53,"&gt;="&amp;Q$13,Cronograma!$S$6:$S$53,"&lt;"&amp;EDATE(Q$13,1))</f>
        <v>0</v>
      </c>
      <c r="R19" s="25" t="n">
        <f aca="false">COUNTIFS(Cronograma!$C$6:$C$53,$A19,Cronograma!$N$6:$N$53,"&gt;="&amp;R$13,Cronograma!$N$6:$N$53,"&lt;"&amp;EDATE(R$13,1))+COUNTIFS(Cronograma!$C$6:$C$53,$A19,Cronograma!$Q$6:$Q$53,"&gt;="&amp;R$13,Cronograma!$Q$6:$Q$53,"&lt;"&amp;EDATE(R$13,1))+COUNTIFS(Cronograma!$C$6:$C$53,$A19,Cronograma!$R$6:$R$53,"&gt;="&amp;R$13,Cronograma!$R$6:$R$53,"&lt;"&amp;EDATE(R$13,1))+COUNTIFS(Cronograma!$C$6:$C$53,$A19,Cronograma!$S$6:$S$53,"&gt;="&amp;R$13,Cronograma!$S$6:$S$53,"&lt;"&amp;EDATE(R$13,1))</f>
        <v>1</v>
      </c>
      <c r="S19" s="25" t="n">
        <f aca="false">COUNTIFS(Cronograma!$C$6:$C$53,$A19,Cronograma!$N$6:$N$53,"&gt;="&amp;S$13,Cronograma!$N$6:$N$53,"&lt;"&amp;EDATE(S$13,1))+COUNTIFS(Cronograma!$C$6:$C$53,$A19,Cronograma!$Q$6:$Q$53,"&gt;="&amp;S$13,Cronograma!$Q$6:$Q$53,"&lt;"&amp;EDATE(S$13,1))+COUNTIFS(Cronograma!$C$6:$C$53,$A19,Cronograma!$R$6:$R$53,"&gt;="&amp;S$13,Cronograma!$R$6:$R$53,"&lt;"&amp;EDATE(S$13,1))+COUNTIFS(Cronograma!$C$6:$C$53,$A19,Cronograma!$S$6:$S$53,"&gt;="&amp;S$13,Cronograma!$S$6:$S$53,"&lt;"&amp;EDATE(S$13,1))</f>
        <v>0</v>
      </c>
      <c r="T19" s="25" t="n">
        <f aca="false">COUNTIFS(Cronograma!$C$6:$C$53,$A19,Cronograma!$N$6:$N$53,"&gt;="&amp;T$13,Cronograma!$N$6:$N$53,"&lt;"&amp;EDATE(T$13,1))+COUNTIFS(Cronograma!$C$6:$C$53,$A19,Cronograma!$Q$6:$Q$53,"&gt;="&amp;T$13,Cronograma!$Q$6:$Q$53,"&lt;"&amp;EDATE(T$13,1))+COUNTIFS(Cronograma!$C$6:$C$53,$A19,Cronograma!$R$6:$R$53,"&gt;="&amp;T$13,Cronograma!$R$6:$R$53,"&lt;"&amp;EDATE(T$13,1))+COUNTIFS(Cronograma!$C$6:$C$53,$A19,Cronograma!$S$6:$S$53,"&gt;="&amp;T$13,Cronograma!$S$6:$S$53,"&lt;"&amp;EDATE(T$13,1))</f>
        <v>0</v>
      </c>
      <c r="U19" s="25" t="n">
        <f aca="false">COUNTIFS(Cronograma!$C$6:$C$53,$A19,Cronograma!$N$6:$N$53,"&gt;="&amp;U$13,Cronograma!$N$6:$N$53,"&lt;"&amp;EDATE(U$13,1))+COUNTIFS(Cronograma!$C$6:$C$53,$A19,Cronograma!$Q$6:$Q$53,"&gt;="&amp;U$13,Cronograma!$Q$6:$Q$53,"&lt;"&amp;EDATE(U$13,1))+COUNTIFS(Cronograma!$C$6:$C$53,$A19,Cronograma!$R$6:$R$53,"&gt;="&amp;U$13,Cronograma!$R$6:$R$53,"&lt;"&amp;EDATE(U$13,1))+COUNTIFS(Cronograma!$C$6:$C$53,$A19,Cronograma!$S$6:$S$53,"&gt;="&amp;U$13,Cronograma!$S$6:$S$53,"&lt;"&amp;EDATE(U$13,1))</f>
        <v>0</v>
      </c>
      <c r="V19" s="25" t="n">
        <f aca="false">COUNTIFS(Cronograma!$C$6:$C$53,$A19,Cronograma!$N$6:$N$53,"&gt;="&amp;V$13,Cronograma!$N$6:$N$53,"&lt;"&amp;EDATE(V$13,1))+COUNTIFS(Cronograma!$C$6:$C$53,$A19,Cronograma!$Q$6:$Q$53,"&gt;="&amp;V$13,Cronograma!$Q$6:$Q$53,"&lt;"&amp;EDATE(V$13,1))+COUNTIFS(Cronograma!$C$6:$C$53,$A19,Cronograma!$R$6:$R$53,"&gt;="&amp;V$13,Cronograma!$R$6:$R$53,"&lt;"&amp;EDATE(V$13,1))+COUNTIFS(Cronograma!$C$6:$C$53,$A19,Cronograma!$S$6:$S$53,"&gt;="&amp;V$13,Cronograma!$S$6:$S$53,"&lt;"&amp;EDATE(V$13,1))</f>
        <v>0</v>
      </c>
      <c r="W19" s="25" t="n">
        <f aca="false">COUNTIFS(Cronograma!$C$6:$C$53,$A19,Cronograma!$N$6:$N$53,"&gt;="&amp;W$13,Cronograma!$N$6:$N$53,"&lt;"&amp;EDATE(W$13,1))+COUNTIFS(Cronograma!$C$6:$C$53,$A19,Cronograma!$Q$6:$Q$53,"&gt;="&amp;W$13,Cronograma!$Q$6:$Q$53,"&lt;"&amp;EDATE(W$13,1))+COUNTIFS(Cronograma!$C$6:$C$53,$A19,Cronograma!$R$6:$R$53,"&gt;="&amp;W$13,Cronograma!$R$6:$R$53,"&lt;"&amp;EDATE(W$13,1))+COUNTIFS(Cronograma!$C$6:$C$53,$A19,Cronograma!$S$6:$S$53,"&gt;="&amp;W$13,Cronograma!$S$6:$S$53,"&lt;"&amp;EDATE(W$13,1))</f>
        <v>0</v>
      </c>
      <c r="X19" s="25" t="n">
        <f aca="false">COUNTIFS(Cronograma!$C$6:$C$53,$A19,Cronograma!$N$6:$N$53,"&gt;="&amp;X$13,Cronograma!$N$6:$N$53,"&lt;"&amp;EDATE(X$13,1))+COUNTIFS(Cronograma!$C$6:$C$53,$A19,Cronograma!$Q$6:$Q$53,"&gt;="&amp;X$13,Cronograma!$Q$6:$Q$53,"&lt;"&amp;EDATE(X$13,1))+COUNTIFS(Cronograma!$C$6:$C$53,$A19,Cronograma!$R$6:$R$53,"&gt;="&amp;X$13,Cronograma!$R$6:$R$53,"&lt;"&amp;EDATE(X$13,1))+COUNTIFS(Cronograma!$C$6:$C$53,$A19,Cronograma!$S$6:$S$53,"&gt;="&amp;X$13,Cronograma!$S$6:$S$53,"&lt;"&amp;EDATE(X$13,1))</f>
        <v>1</v>
      </c>
      <c r="Y19" s="25" t="n">
        <f aca="false">COUNTIFS(Cronograma!$C$6:$C$53,$A19,Cronograma!$N$6:$N$53,"&gt;="&amp;Y$13,Cronograma!$N$6:$N$53,"&lt;"&amp;EDATE(Y$13,1))+COUNTIFS(Cronograma!$C$6:$C$53,$A19,Cronograma!$Q$6:$Q$53,"&gt;="&amp;Y$13,Cronograma!$Q$6:$Q$53,"&lt;"&amp;EDATE(Y$13,1))+COUNTIFS(Cronograma!$C$6:$C$53,$A19,Cronograma!$R$6:$R$53,"&gt;="&amp;Y$13,Cronograma!$R$6:$R$53,"&lt;"&amp;EDATE(Y$13,1))+COUNTIFS(Cronograma!$C$6:$C$53,$A19,Cronograma!$S$6:$S$53,"&gt;="&amp;Y$13,Cronograma!$S$6:$S$53,"&lt;"&amp;EDATE(Y$13,1))</f>
        <v>0</v>
      </c>
      <c r="Z19" s="4" t="n">
        <f aca="false">SUM(B19:Y19)</f>
        <v>4</v>
      </c>
    </row>
    <row r="20" customFormat="false" ht="15" hidden="false" customHeight="false" outlineLevel="0" collapsed="false">
      <c r="A20" s="24" t="s">
        <v>178</v>
      </c>
      <c r="B20" s="25" t="n">
        <f aca="false">COUNTIFS(Cronograma!$C$6:$C$53,$A20,Cronograma!$N$6:$N$53,"&gt;="&amp;B$13,Cronograma!$N$6:$N$53,"&lt;"&amp;EDATE(B$13,1))+COUNTIFS(Cronograma!$C$6:$C$53,$A20,Cronograma!$Q$6:$Q$53,"&gt;="&amp;B$13,Cronograma!$Q$6:$Q$53,"&lt;"&amp;EDATE(B$13,1))+COUNTIFS(Cronograma!$C$6:$C$53,$A20,Cronograma!$R$6:$R$53,"&gt;="&amp;B$13,Cronograma!$R$6:$R$53,"&lt;"&amp;EDATE(B$13,1))+COUNTIFS(Cronograma!$C$6:$C$53,$A20,Cronograma!$S$6:$S$53,"&gt;="&amp;B$13,Cronograma!$S$6:$S$53,"&lt;"&amp;EDATE(B$13,1))</f>
        <v>0</v>
      </c>
      <c r="C20" s="25" t="n">
        <f aca="false">COUNTIFS(Cronograma!$C$6:$C$53,$A20,Cronograma!$N$6:$N$53,"&gt;="&amp;C$13,Cronograma!$N$6:$N$53,"&lt;"&amp;EDATE(C$13,1))+COUNTIFS(Cronograma!$C$6:$C$53,$A20,Cronograma!$Q$6:$Q$53,"&gt;="&amp;C$13,Cronograma!$Q$6:$Q$53,"&lt;"&amp;EDATE(C$13,1))+COUNTIFS(Cronograma!$C$6:$C$53,$A20,Cronograma!$R$6:$R$53,"&gt;="&amp;C$13,Cronograma!$R$6:$R$53,"&lt;"&amp;EDATE(C$13,1))+COUNTIFS(Cronograma!$C$6:$C$53,$A20,Cronograma!$S$6:$S$53,"&gt;="&amp;C$13,Cronograma!$S$6:$S$53,"&lt;"&amp;EDATE(C$13,1))</f>
        <v>0</v>
      </c>
      <c r="D20" s="25" t="n">
        <f aca="false">COUNTIFS(Cronograma!$C$6:$C$53,$A20,Cronograma!$N$6:$N$53,"&gt;="&amp;D$13,Cronograma!$N$6:$N$53,"&lt;"&amp;EDATE(D$13,1))+COUNTIFS(Cronograma!$C$6:$C$53,$A20,Cronograma!$Q$6:$Q$53,"&gt;="&amp;D$13,Cronograma!$Q$6:$Q$53,"&lt;"&amp;EDATE(D$13,1))+COUNTIFS(Cronograma!$C$6:$C$53,$A20,Cronograma!$R$6:$R$53,"&gt;="&amp;D$13,Cronograma!$R$6:$R$53,"&lt;"&amp;EDATE(D$13,1))+COUNTIFS(Cronograma!$C$6:$C$53,$A20,Cronograma!$S$6:$S$53,"&gt;="&amp;D$13,Cronograma!$S$6:$S$53,"&lt;"&amp;EDATE(D$13,1))</f>
        <v>0</v>
      </c>
      <c r="E20" s="25" t="n">
        <f aca="false">COUNTIFS(Cronograma!$C$6:$C$53,$A20,Cronograma!$N$6:$N$53,"&gt;="&amp;E$13,Cronograma!$N$6:$N$53,"&lt;"&amp;EDATE(E$13,1))+COUNTIFS(Cronograma!$C$6:$C$53,$A20,Cronograma!$Q$6:$Q$53,"&gt;="&amp;E$13,Cronograma!$Q$6:$Q$53,"&lt;"&amp;EDATE(E$13,1))+COUNTIFS(Cronograma!$C$6:$C$53,$A20,Cronograma!$R$6:$R$53,"&gt;="&amp;E$13,Cronograma!$R$6:$R$53,"&lt;"&amp;EDATE(E$13,1))+COUNTIFS(Cronograma!$C$6:$C$53,$A20,Cronograma!$S$6:$S$53,"&gt;="&amp;E$13,Cronograma!$S$6:$S$53,"&lt;"&amp;EDATE(E$13,1))</f>
        <v>0</v>
      </c>
      <c r="F20" s="25" t="n">
        <f aca="false">COUNTIFS(Cronograma!$C$6:$C$53,$A20,Cronograma!$N$6:$N$53,"&gt;="&amp;F$13,Cronograma!$N$6:$N$53,"&lt;"&amp;EDATE(F$13,1))+COUNTIFS(Cronograma!$C$6:$C$53,$A20,Cronograma!$Q$6:$Q$53,"&gt;="&amp;F$13,Cronograma!$Q$6:$Q$53,"&lt;"&amp;EDATE(F$13,1))+COUNTIFS(Cronograma!$C$6:$C$53,$A20,Cronograma!$R$6:$R$53,"&gt;="&amp;F$13,Cronograma!$R$6:$R$53,"&lt;"&amp;EDATE(F$13,1))+COUNTIFS(Cronograma!$C$6:$C$53,$A20,Cronograma!$S$6:$S$53,"&gt;="&amp;F$13,Cronograma!$S$6:$S$53,"&lt;"&amp;EDATE(F$13,1))</f>
        <v>0</v>
      </c>
      <c r="G20" s="25" t="n">
        <f aca="false">COUNTIFS(Cronograma!$C$6:$C$53,$A20,Cronograma!$N$6:$N$53,"&gt;="&amp;G$13,Cronograma!$N$6:$N$53,"&lt;"&amp;EDATE(G$13,1))+COUNTIFS(Cronograma!$C$6:$C$53,$A20,Cronograma!$Q$6:$Q$53,"&gt;="&amp;G$13,Cronograma!$Q$6:$Q$53,"&lt;"&amp;EDATE(G$13,1))+COUNTIFS(Cronograma!$C$6:$C$53,$A20,Cronograma!$R$6:$R$53,"&gt;="&amp;G$13,Cronograma!$R$6:$R$53,"&lt;"&amp;EDATE(G$13,1))+COUNTIFS(Cronograma!$C$6:$C$53,$A20,Cronograma!$S$6:$S$53,"&gt;="&amp;G$13,Cronograma!$S$6:$S$53,"&lt;"&amp;EDATE(G$13,1))</f>
        <v>1</v>
      </c>
      <c r="H20" s="25" t="n">
        <f aca="false">COUNTIFS(Cronograma!$C$6:$C$53,$A20,Cronograma!$N$6:$N$53,"&gt;="&amp;H$13,Cronograma!$N$6:$N$53,"&lt;"&amp;EDATE(H$13,1))+COUNTIFS(Cronograma!$C$6:$C$53,$A20,Cronograma!$Q$6:$Q$53,"&gt;="&amp;H$13,Cronograma!$Q$6:$Q$53,"&lt;"&amp;EDATE(H$13,1))+COUNTIFS(Cronograma!$C$6:$C$53,$A20,Cronograma!$R$6:$R$53,"&gt;="&amp;H$13,Cronograma!$R$6:$R$53,"&lt;"&amp;EDATE(H$13,1))+COUNTIFS(Cronograma!$C$6:$C$53,$A20,Cronograma!$S$6:$S$53,"&gt;="&amp;H$13,Cronograma!$S$6:$S$53,"&lt;"&amp;EDATE(H$13,1))</f>
        <v>0</v>
      </c>
      <c r="I20" s="25" t="n">
        <f aca="false">COUNTIFS(Cronograma!$C$6:$C$53,$A20,Cronograma!$N$6:$N$53,"&gt;="&amp;I$13,Cronograma!$N$6:$N$53,"&lt;"&amp;EDATE(I$13,1))+COUNTIFS(Cronograma!$C$6:$C$53,$A20,Cronograma!$Q$6:$Q$53,"&gt;="&amp;I$13,Cronograma!$Q$6:$Q$53,"&lt;"&amp;EDATE(I$13,1))+COUNTIFS(Cronograma!$C$6:$C$53,$A20,Cronograma!$R$6:$R$53,"&gt;="&amp;I$13,Cronograma!$R$6:$R$53,"&lt;"&amp;EDATE(I$13,1))+COUNTIFS(Cronograma!$C$6:$C$53,$A20,Cronograma!$S$6:$S$53,"&gt;="&amp;I$13,Cronograma!$S$6:$S$53,"&lt;"&amp;EDATE(I$13,1))</f>
        <v>0</v>
      </c>
      <c r="J20" s="25" t="n">
        <f aca="false">COUNTIFS(Cronograma!$C$6:$C$53,$A20,Cronograma!$N$6:$N$53,"&gt;="&amp;J$13,Cronograma!$N$6:$N$53,"&lt;"&amp;EDATE(J$13,1))+COUNTIFS(Cronograma!$C$6:$C$53,$A20,Cronograma!$Q$6:$Q$53,"&gt;="&amp;J$13,Cronograma!$Q$6:$Q$53,"&lt;"&amp;EDATE(J$13,1))+COUNTIFS(Cronograma!$C$6:$C$53,$A20,Cronograma!$R$6:$R$53,"&gt;="&amp;J$13,Cronograma!$R$6:$R$53,"&lt;"&amp;EDATE(J$13,1))+COUNTIFS(Cronograma!$C$6:$C$53,$A20,Cronograma!$S$6:$S$53,"&gt;="&amp;J$13,Cronograma!$S$6:$S$53,"&lt;"&amp;EDATE(J$13,1))</f>
        <v>0</v>
      </c>
      <c r="K20" s="25" t="n">
        <f aca="false">COUNTIFS(Cronograma!$C$6:$C$53,$A20,Cronograma!$N$6:$N$53,"&gt;="&amp;K$13,Cronograma!$N$6:$N$53,"&lt;"&amp;EDATE(K$13,1))+COUNTIFS(Cronograma!$C$6:$C$53,$A20,Cronograma!$Q$6:$Q$53,"&gt;="&amp;K$13,Cronograma!$Q$6:$Q$53,"&lt;"&amp;EDATE(K$13,1))+COUNTIFS(Cronograma!$C$6:$C$53,$A20,Cronograma!$R$6:$R$53,"&gt;="&amp;K$13,Cronograma!$R$6:$R$53,"&lt;"&amp;EDATE(K$13,1))+COUNTIFS(Cronograma!$C$6:$C$53,$A20,Cronograma!$S$6:$S$53,"&gt;="&amp;K$13,Cronograma!$S$6:$S$53,"&lt;"&amp;EDATE(K$13,1))</f>
        <v>0</v>
      </c>
      <c r="L20" s="25" t="n">
        <f aca="false">COUNTIFS(Cronograma!$C$6:$C$53,$A20,Cronograma!$N$6:$N$53,"&gt;="&amp;L$13,Cronograma!$N$6:$N$53,"&lt;"&amp;EDATE(L$13,1))+COUNTIFS(Cronograma!$C$6:$C$53,$A20,Cronograma!$Q$6:$Q$53,"&gt;="&amp;L$13,Cronograma!$Q$6:$Q$53,"&lt;"&amp;EDATE(L$13,1))+COUNTIFS(Cronograma!$C$6:$C$53,$A20,Cronograma!$R$6:$R$53,"&gt;="&amp;L$13,Cronograma!$R$6:$R$53,"&lt;"&amp;EDATE(L$13,1))+COUNTIFS(Cronograma!$C$6:$C$53,$A20,Cronograma!$S$6:$S$53,"&gt;="&amp;L$13,Cronograma!$S$6:$S$53,"&lt;"&amp;EDATE(L$13,1))</f>
        <v>0</v>
      </c>
      <c r="M20" s="25" t="n">
        <f aca="false">COUNTIFS(Cronograma!$C$6:$C$53,$A20,Cronograma!$N$6:$N$53,"&gt;="&amp;M$13,Cronograma!$N$6:$N$53,"&lt;"&amp;EDATE(M$13,1))+COUNTIFS(Cronograma!$C$6:$C$53,$A20,Cronograma!$Q$6:$Q$53,"&gt;="&amp;M$13,Cronograma!$Q$6:$Q$53,"&lt;"&amp;EDATE(M$13,1))+COUNTIFS(Cronograma!$C$6:$C$53,$A20,Cronograma!$R$6:$R$53,"&gt;="&amp;M$13,Cronograma!$R$6:$R$53,"&lt;"&amp;EDATE(M$13,1))+COUNTIFS(Cronograma!$C$6:$C$53,$A20,Cronograma!$S$6:$S$53,"&gt;="&amp;M$13,Cronograma!$S$6:$S$53,"&lt;"&amp;EDATE(M$13,1))</f>
        <v>1</v>
      </c>
      <c r="N20" s="25" t="n">
        <f aca="false">COUNTIFS(Cronograma!$C$6:$C$53,$A20,Cronograma!$N$6:$N$53,"&gt;="&amp;N$13,Cronograma!$N$6:$N$53,"&lt;"&amp;EDATE(N$13,1))+COUNTIFS(Cronograma!$C$6:$C$53,$A20,Cronograma!$Q$6:$Q$53,"&gt;="&amp;N$13,Cronograma!$Q$6:$Q$53,"&lt;"&amp;EDATE(N$13,1))+COUNTIFS(Cronograma!$C$6:$C$53,$A20,Cronograma!$R$6:$R$53,"&gt;="&amp;N$13,Cronograma!$R$6:$R$53,"&lt;"&amp;EDATE(N$13,1))+COUNTIFS(Cronograma!$C$6:$C$53,$A20,Cronograma!$S$6:$S$53,"&gt;="&amp;N$13,Cronograma!$S$6:$S$53,"&lt;"&amp;EDATE(N$13,1))</f>
        <v>0</v>
      </c>
      <c r="O20" s="25" t="n">
        <f aca="false">COUNTIFS(Cronograma!$C$6:$C$53,$A20,Cronograma!$N$6:$N$53,"&gt;="&amp;O$13,Cronograma!$N$6:$N$53,"&lt;"&amp;EDATE(O$13,1))+COUNTIFS(Cronograma!$C$6:$C$53,$A20,Cronograma!$Q$6:$Q$53,"&gt;="&amp;O$13,Cronograma!$Q$6:$Q$53,"&lt;"&amp;EDATE(O$13,1))+COUNTIFS(Cronograma!$C$6:$C$53,$A20,Cronograma!$R$6:$R$53,"&gt;="&amp;O$13,Cronograma!$R$6:$R$53,"&lt;"&amp;EDATE(O$13,1))+COUNTIFS(Cronograma!$C$6:$C$53,$A20,Cronograma!$S$6:$S$53,"&gt;="&amp;O$13,Cronograma!$S$6:$S$53,"&lt;"&amp;EDATE(O$13,1))</f>
        <v>0</v>
      </c>
      <c r="P20" s="25" t="n">
        <f aca="false">COUNTIFS(Cronograma!$C$6:$C$53,$A20,Cronograma!$N$6:$N$53,"&gt;="&amp;P$13,Cronograma!$N$6:$N$53,"&lt;"&amp;EDATE(P$13,1))+COUNTIFS(Cronograma!$C$6:$C$53,$A20,Cronograma!$Q$6:$Q$53,"&gt;="&amp;P$13,Cronograma!$Q$6:$Q$53,"&lt;"&amp;EDATE(P$13,1))+COUNTIFS(Cronograma!$C$6:$C$53,$A20,Cronograma!$R$6:$R$53,"&gt;="&amp;P$13,Cronograma!$R$6:$R$53,"&lt;"&amp;EDATE(P$13,1))+COUNTIFS(Cronograma!$C$6:$C$53,$A20,Cronograma!$S$6:$S$53,"&gt;="&amp;P$13,Cronograma!$S$6:$S$53,"&lt;"&amp;EDATE(P$13,1))</f>
        <v>0</v>
      </c>
      <c r="Q20" s="25" t="n">
        <f aca="false">COUNTIFS(Cronograma!$C$6:$C$53,$A20,Cronograma!$N$6:$N$53,"&gt;="&amp;Q$13,Cronograma!$N$6:$N$53,"&lt;"&amp;EDATE(Q$13,1))+COUNTIFS(Cronograma!$C$6:$C$53,$A20,Cronograma!$Q$6:$Q$53,"&gt;="&amp;Q$13,Cronograma!$Q$6:$Q$53,"&lt;"&amp;EDATE(Q$13,1))+COUNTIFS(Cronograma!$C$6:$C$53,$A20,Cronograma!$R$6:$R$53,"&gt;="&amp;Q$13,Cronograma!$R$6:$R$53,"&lt;"&amp;EDATE(Q$13,1))+COUNTIFS(Cronograma!$C$6:$C$53,$A20,Cronograma!$S$6:$S$53,"&gt;="&amp;Q$13,Cronograma!$S$6:$S$53,"&lt;"&amp;EDATE(Q$13,1))</f>
        <v>0</v>
      </c>
      <c r="R20" s="25" t="n">
        <f aca="false">COUNTIFS(Cronograma!$C$6:$C$53,$A20,Cronograma!$N$6:$N$53,"&gt;="&amp;R$13,Cronograma!$N$6:$N$53,"&lt;"&amp;EDATE(R$13,1))+COUNTIFS(Cronograma!$C$6:$C$53,$A20,Cronograma!$Q$6:$Q$53,"&gt;="&amp;R$13,Cronograma!$Q$6:$Q$53,"&lt;"&amp;EDATE(R$13,1))+COUNTIFS(Cronograma!$C$6:$C$53,$A20,Cronograma!$R$6:$R$53,"&gt;="&amp;R$13,Cronograma!$R$6:$R$53,"&lt;"&amp;EDATE(R$13,1))+COUNTIFS(Cronograma!$C$6:$C$53,$A20,Cronograma!$S$6:$S$53,"&gt;="&amp;R$13,Cronograma!$S$6:$S$53,"&lt;"&amp;EDATE(R$13,1))</f>
        <v>0</v>
      </c>
      <c r="S20" s="25" t="n">
        <f aca="false">COUNTIFS(Cronograma!$C$6:$C$53,$A20,Cronograma!$N$6:$N$53,"&gt;="&amp;S$13,Cronograma!$N$6:$N$53,"&lt;"&amp;EDATE(S$13,1))+COUNTIFS(Cronograma!$C$6:$C$53,$A20,Cronograma!$Q$6:$Q$53,"&gt;="&amp;S$13,Cronograma!$Q$6:$Q$53,"&lt;"&amp;EDATE(S$13,1))+COUNTIFS(Cronograma!$C$6:$C$53,$A20,Cronograma!$R$6:$R$53,"&gt;="&amp;S$13,Cronograma!$R$6:$R$53,"&lt;"&amp;EDATE(S$13,1))+COUNTIFS(Cronograma!$C$6:$C$53,$A20,Cronograma!$S$6:$S$53,"&gt;="&amp;S$13,Cronograma!$S$6:$S$53,"&lt;"&amp;EDATE(S$13,1))</f>
        <v>1</v>
      </c>
      <c r="T20" s="25" t="n">
        <f aca="false">COUNTIFS(Cronograma!$C$6:$C$53,$A20,Cronograma!$N$6:$N$53,"&gt;="&amp;T$13,Cronograma!$N$6:$N$53,"&lt;"&amp;EDATE(T$13,1))+COUNTIFS(Cronograma!$C$6:$C$53,$A20,Cronograma!$Q$6:$Q$53,"&gt;="&amp;T$13,Cronograma!$Q$6:$Q$53,"&lt;"&amp;EDATE(T$13,1))+COUNTIFS(Cronograma!$C$6:$C$53,$A20,Cronograma!$R$6:$R$53,"&gt;="&amp;T$13,Cronograma!$R$6:$R$53,"&lt;"&amp;EDATE(T$13,1))+COUNTIFS(Cronograma!$C$6:$C$53,$A20,Cronograma!$S$6:$S$53,"&gt;="&amp;T$13,Cronograma!$S$6:$S$53,"&lt;"&amp;EDATE(T$13,1))</f>
        <v>0</v>
      </c>
      <c r="U20" s="25" t="n">
        <f aca="false">COUNTIFS(Cronograma!$C$6:$C$53,$A20,Cronograma!$N$6:$N$53,"&gt;="&amp;U$13,Cronograma!$N$6:$N$53,"&lt;"&amp;EDATE(U$13,1))+COUNTIFS(Cronograma!$C$6:$C$53,$A20,Cronograma!$Q$6:$Q$53,"&gt;="&amp;U$13,Cronograma!$Q$6:$Q$53,"&lt;"&amp;EDATE(U$13,1))+COUNTIFS(Cronograma!$C$6:$C$53,$A20,Cronograma!$R$6:$R$53,"&gt;="&amp;U$13,Cronograma!$R$6:$R$53,"&lt;"&amp;EDATE(U$13,1))+COUNTIFS(Cronograma!$C$6:$C$53,$A20,Cronograma!$S$6:$S$53,"&gt;="&amp;U$13,Cronograma!$S$6:$S$53,"&lt;"&amp;EDATE(U$13,1))</f>
        <v>0</v>
      </c>
      <c r="V20" s="25" t="n">
        <f aca="false">COUNTIFS(Cronograma!$C$6:$C$53,$A20,Cronograma!$N$6:$N$53,"&gt;="&amp;V$13,Cronograma!$N$6:$N$53,"&lt;"&amp;EDATE(V$13,1))+COUNTIFS(Cronograma!$C$6:$C$53,$A20,Cronograma!$Q$6:$Q$53,"&gt;="&amp;V$13,Cronograma!$Q$6:$Q$53,"&lt;"&amp;EDATE(V$13,1))+COUNTIFS(Cronograma!$C$6:$C$53,$A20,Cronograma!$R$6:$R$53,"&gt;="&amp;V$13,Cronograma!$R$6:$R$53,"&lt;"&amp;EDATE(V$13,1))+COUNTIFS(Cronograma!$C$6:$C$53,$A20,Cronograma!$S$6:$S$53,"&gt;="&amp;V$13,Cronograma!$S$6:$S$53,"&lt;"&amp;EDATE(V$13,1))</f>
        <v>0</v>
      </c>
      <c r="W20" s="25" t="n">
        <f aca="false">COUNTIFS(Cronograma!$C$6:$C$53,$A20,Cronograma!$N$6:$N$53,"&gt;="&amp;W$13,Cronograma!$N$6:$N$53,"&lt;"&amp;EDATE(W$13,1))+COUNTIFS(Cronograma!$C$6:$C$53,$A20,Cronograma!$Q$6:$Q$53,"&gt;="&amp;W$13,Cronograma!$Q$6:$Q$53,"&lt;"&amp;EDATE(W$13,1))+COUNTIFS(Cronograma!$C$6:$C$53,$A20,Cronograma!$R$6:$R$53,"&gt;="&amp;W$13,Cronograma!$R$6:$R$53,"&lt;"&amp;EDATE(W$13,1))+COUNTIFS(Cronograma!$C$6:$C$53,$A20,Cronograma!$S$6:$S$53,"&gt;="&amp;W$13,Cronograma!$S$6:$S$53,"&lt;"&amp;EDATE(W$13,1))</f>
        <v>0</v>
      </c>
      <c r="X20" s="25" t="n">
        <f aca="false">COUNTIFS(Cronograma!$C$6:$C$53,$A20,Cronograma!$N$6:$N$53,"&gt;="&amp;X$13,Cronograma!$N$6:$N$53,"&lt;"&amp;EDATE(X$13,1))+COUNTIFS(Cronograma!$C$6:$C$53,$A20,Cronograma!$Q$6:$Q$53,"&gt;="&amp;X$13,Cronograma!$Q$6:$Q$53,"&lt;"&amp;EDATE(X$13,1))+COUNTIFS(Cronograma!$C$6:$C$53,$A20,Cronograma!$R$6:$R$53,"&gt;="&amp;X$13,Cronograma!$R$6:$R$53,"&lt;"&amp;EDATE(X$13,1))+COUNTIFS(Cronograma!$C$6:$C$53,$A20,Cronograma!$S$6:$S$53,"&gt;="&amp;X$13,Cronograma!$S$6:$S$53,"&lt;"&amp;EDATE(X$13,1))</f>
        <v>0</v>
      </c>
      <c r="Y20" s="25" t="n">
        <f aca="false">COUNTIFS(Cronograma!$C$6:$C$53,$A20,Cronograma!$N$6:$N$53,"&gt;="&amp;Y$13,Cronograma!$N$6:$N$53,"&lt;"&amp;EDATE(Y$13,1))+COUNTIFS(Cronograma!$C$6:$C$53,$A20,Cronograma!$Q$6:$Q$53,"&gt;="&amp;Y$13,Cronograma!$Q$6:$Q$53,"&lt;"&amp;EDATE(Y$13,1))+COUNTIFS(Cronograma!$C$6:$C$53,$A20,Cronograma!$R$6:$R$53,"&gt;="&amp;Y$13,Cronograma!$R$6:$R$53,"&lt;"&amp;EDATE(Y$13,1))+COUNTIFS(Cronograma!$C$6:$C$53,$A20,Cronograma!$S$6:$S$53,"&gt;="&amp;Y$13,Cronograma!$S$6:$S$53,"&lt;"&amp;EDATE(Y$13,1))</f>
        <v>1</v>
      </c>
      <c r="Z20" s="4" t="n">
        <f aca="false">SUM(B20:Y20)</f>
        <v>4</v>
      </c>
    </row>
    <row r="21" customFormat="false" ht="15" hidden="false" customHeight="false" outlineLevel="0" collapsed="false">
      <c r="A21" s="24" t="s">
        <v>101</v>
      </c>
      <c r="B21" s="25" t="n">
        <f aca="false">COUNTIFS(Cronograma!$C$6:$C$53,$A21,Cronograma!$N$6:$N$53,"&gt;="&amp;B$13,Cronograma!$N$6:$N$53,"&lt;"&amp;EDATE(B$13,1))+COUNTIFS(Cronograma!$C$6:$C$53,$A21,Cronograma!$Q$6:$Q$53,"&gt;="&amp;B$13,Cronograma!$Q$6:$Q$53,"&lt;"&amp;EDATE(B$13,1))+COUNTIFS(Cronograma!$C$6:$C$53,$A21,Cronograma!$R$6:$R$53,"&gt;="&amp;B$13,Cronograma!$R$6:$R$53,"&lt;"&amp;EDATE(B$13,1))+COUNTIFS(Cronograma!$C$6:$C$53,$A21,Cronograma!$S$6:$S$53,"&gt;="&amp;B$13,Cronograma!$S$6:$S$53,"&lt;"&amp;EDATE(B$13,1))</f>
        <v>1</v>
      </c>
      <c r="C21" s="25" t="n">
        <f aca="false">COUNTIFS(Cronograma!$C$6:$C$53,$A21,Cronograma!$N$6:$N$53,"&gt;="&amp;C$13,Cronograma!$N$6:$N$53,"&lt;"&amp;EDATE(C$13,1))+COUNTIFS(Cronograma!$C$6:$C$53,$A21,Cronograma!$Q$6:$Q$53,"&gt;="&amp;C$13,Cronograma!$Q$6:$Q$53,"&lt;"&amp;EDATE(C$13,1))+COUNTIFS(Cronograma!$C$6:$C$53,$A21,Cronograma!$R$6:$R$53,"&gt;="&amp;C$13,Cronograma!$R$6:$R$53,"&lt;"&amp;EDATE(C$13,1))+COUNTIFS(Cronograma!$C$6:$C$53,$A21,Cronograma!$S$6:$S$53,"&gt;="&amp;C$13,Cronograma!$S$6:$S$53,"&lt;"&amp;EDATE(C$13,1))</f>
        <v>0</v>
      </c>
      <c r="D21" s="25" t="n">
        <f aca="false">COUNTIFS(Cronograma!$C$6:$C$53,$A21,Cronograma!$N$6:$N$53,"&gt;="&amp;D$13,Cronograma!$N$6:$N$53,"&lt;"&amp;EDATE(D$13,1))+COUNTIFS(Cronograma!$C$6:$C$53,$A21,Cronograma!$Q$6:$Q$53,"&gt;="&amp;D$13,Cronograma!$Q$6:$Q$53,"&lt;"&amp;EDATE(D$13,1))+COUNTIFS(Cronograma!$C$6:$C$53,$A21,Cronograma!$R$6:$R$53,"&gt;="&amp;D$13,Cronograma!$R$6:$R$53,"&lt;"&amp;EDATE(D$13,1))+COUNTIFS(Cronograma!$C$6:$C$53,$A21,Cronograma!$S$6:$S$53,"&gt;="&amp;D$13,Cronograma!$S$6:$S$53,"&lt;"&amp;EDATE(D$13,1))</f>
        <v>2</v>
      </c>
      <c r="E21" s="25" t="n">
        <f aca="false">COUNTIFS(Cronograma!$C$6:$C$53,$A21,Cronograma!$N$6:$N$53,"&gt;="&amp;E$13,Cronograma!$N$6:$N$53,"&lt;"&amp;EDATE(E$13,1))+COUNTIFS(Cronograma!$C$6:$C$53,$A21,Cronograma!$Q$6:$Q$53,"&gt;="&amp;E$13,Cronograma!$Q$6:$Q$53,"&lt;"&amp;EDATE(E$13,1))+COUNTIFS(Cronograma!$C$6:$C$53,$A21,Cronograma!$R$6:$R$53,"&gt;="&amp;E$13,Cronograma!$R$6:$R$53,"&lt;"&amp;EDATE(E$13,1))+COUNTIFS(Cronograma!$C$6:$C$53,$A21,Cronograma!$S$6:$S$53,"&gt;="&amp;E$13,Cronograma!$S$6:$S$53,"&lt;"&amp;EDATE(E$13,1))</f>
        <v>0</v>
      </c>
      <c r="F21" s="25" t="n">
        <f aca="false">COUNTIFS(Cronograma!$C$6:$C$53,$A21,Cronograma!$N$6:$N$53,"&gt;="&amp;F$13,Cronograma!$N$6:$N$53,"&lt;"&amp;EDATE(F$13,1))+COUNTIFS(Cronograma!$C$6:$C$53,$A21,Cronograma!$Q$6:$Q$53,"&gt;="&amp;F$13,Cronograma!$Q$6:$Q$53,"&lt;"&amp;EDATE(F$13,1))+COUNTIFS(Cronograma!$C$6:$C$53,$A21,Cronograma!$R$6:$R$53,"&gt;="&amp;F$13,Cronograma!$R$6:$R$53,"&lt;"&amp;EDATE(F$13,1))+COUNTIFS(Cronograma!$C$6:$C$53,$A21,Cronograma!$S$6:$S$53,"&gt;="&amp;F$13,Cronograma!$S$6:$S$53,"&lt;"&amp;EDATE(F$13,1))</f>
        <v>0</v>
      </c>
      <c r="G21" s="25" t="n">
        <f aca="false">COUNTIFS(Cronograma!$C$6:$C$53,$A21,Cronograma!$N$6:$N$53,"&gt;="&amp;G$13,Cronograma!$N$6:$N$53,"&lt;"&amp;EDATE(G$13,1))+COUNTIFS(Cronograma!$C$6:$C$53,$A21,Cronograma!$Q$6:$Q$53,"&gt;="&amp;G$13,Cronograma!$Q$6:$Q$53,"&lt;"&amp;EDATE(G$13,1))+COUNTIFS(Cronograma!$C$6:$C$53,$A21,Cronograma!$R$6:$R$53,"&gt;="&amp;G$13,Cronograma!$R$6:$R$53,"&lt;"&amp;EDATE(G$13,1))+COUNTIFS(Cronograma!$C$6:$C$53,$A21,Cronograma!$S$6:$S$53,"&gt;="&amp;G$13,Cronograma!$S$6:$S$53,"&lt;"&amp;EDATE(G$13,1))</f>
        <v>0</v>
      </c>
      <c r="H21" s="25" t="n">
        <f aca="false">COUNTIFS(Cronograma!$C$6:$C$53,$A21,Cronograma!$N$6:$N$53,"&gt;="&amp;H$13,Cronograma!$N$6:$N$53,"&lt;"&amp;EDATE(H$13,1))+COUNTIFS(Cronograma!$C$6:$C$53,$A21,Cronograma!$Q$6:$Q$53,"&gt;="&amp;H$13,Cronograma!$Q$6:$Q$53,"&lt;"&amp;EDATE(H$13,1))+COUNTIFS(Cronograma!$C$6:$C$53,$A21,Cronograma!$R$6:$R$53,"&gt;="&amp;H$13,Cronograma!$R$6:$R$53,"&lt;"&amp;EDATE(H$13,1))+COUNTIFS(Cronograma!$C$6:$C$53,$A21,Cronograma!$S$6:$S$53,"&gt;="&amp;H$13,Cronograma!$S$6:$S$53,"&lt;"&amp;EDATE(H$13,1))</f>
        <v>1</v>
      </c>
      <c r="I21" s="25" t="n">
        <f aca="false">COUNTIFS(Cronograma!$C$6:$C$53,$A21,Cronograma!$N$6:$N$53,"&gt;="&amp;I$13,Cronograma!$N$6:$N$53,"&lt;"&amp;EDATE(I$13,1))+COUNTIFS(Cronograma!$C$6:$C$53,$A21,Cronograma!$Q$6:$Q$53,"&gt;="&amp;I$13,Cronograma!$Q$6:$Q$53,"&lt;"&amp;EDATE(I$13,1))+COUNTIFS(Cronograma!$C$6:$C$53,$A21,Cronograma!$R$6:$R$53,"&gt;="&amp;I$13,Cronograma!$R$6:$R$53,"&lt;"&amp;EDATE(I$13,1))+COUNTIFS(Cronograma!$C$6:$C$53,$A21,Cronograma!$S$6:$S$53,"&gt;="&amp;I$13,Cronograma!$S$6:$S$53,"&lt;"&amp;EDATE(I$13,1))</f>
        <v>0</v>
      </c>
      <c r="J21" s="25" t="n">
        <f aca="false">COUNTIFS(Cronograma!$C$6:$C$53,$A21,Cronograma!$N$6:$N$53,"&gt;="&amp;J$13,Cronograma!$N$6:$N$53,"&lt;"&amp;EDATE(J$13,1))+COUNTIFS(Cronograma!$C$6:$C$53,$A21,Cronograma!$Q$6:$Q$53,"&gt;="&amp;J$13,Cronograma!$Q$6:$Q$53,"&lt;"&amp;EDATE(J$13,1))+COUNTIFS(Cronograma!$C$6:$C$53,$A21,Cronograma!$R$6:$R$53,"&gt;="&amp;J$13,Cronograma!$R$6:$R$53,"&lt;"&amp;EDATE(J$13,1))+COUNTIFS(Cronograma!$C$6:$C$53,$A21,Cronograma!$S$6:$S$53,"&gt;="&amp;J$13,Cronograma!$S$6:$S$53,"&lt;"&amp;EDATE(J$13,1))</f>
        <v>2</v>
      </c>
      <c r="K21" s="25" t="n">
        <f aca="false">COUNTIFS(Cronograma!$C$6:$C$53,$A21,Cronograma!$N$6:$N$53,"&gt;="&amp;K$13,Cronograma!$N$6:$N$53,"&lt;"&amp;EDATE(K$13,1))+COUNTIFS(Cronograma!$C$6:$C$53,$A21,Cronograma!$Q$6:$Q$53,"&gt;="&amp;K$13,Cronograma!$Q$6:$Q$53,"&lt;"&amp;EDATE(K$13,1))+COUNTIFS(Cronograma!$C$6:$C$53,$A21,Cronograma!$R$6:$R$53,"&gt;="&amp;K$13,Cronograma!$R$6:$R$53,"&lt;"&amp;EDATE(K$13,1))+COUNTIFS(Cronograma!$C$6:$C$53,$A21,Cronograma!$S$6:$S$53,"&gt;="&amp;K$13,Cronograma!$S$6:$S$53,"&lt;"&amp;EDATE(K$13,1))</f>
        <v>0</v>
      </c>
      <c r="L21" s="25" t="n">
        <f aca="false">COUNTIFS(Cronograma!$C$6:$C$53,$A21,Cronograma!$N$6:$N$53,"&gt;="&amp;L$13,Cronograma!$N$6:$N$53,"&lt;"&amp;EDATE(L$13,1))+COUNTIFS(Cronograma!$C$6:$C$53,$A21,Cronograma!$Q$6:$Q$53,"&gt;="&amp;L$13,Cronograma!$Q$6:$Q$53,"&lt;"&amp;EDATE(L$13,1))+COUNTIFS(Cronograma!$C$6:$C$53,$A21,Cronograma!$R$6:$R$53,"&gt;="&amp;L$13,Cronograma!$R$6:$R$53,"&lt;"&amp;EDATE(L$13,1))+COUNTIFS(Cronograma!$C$6:$C$53,$A21,Cronograma!$S$6:$S$53,"&gt;="&amp;L$13,Cronograma!$S$6:$S$53,"&lt;"&amp;EDATE(L$13,1))</f>
        <v>0</v>
      </c>
      <c r="M21" s="25" t="n">
        <f aca="false">COUNTIFS(Cronograma!$C$6:$C$53,$A21,Cronograma!$N$6:$N$53,"&gt;="&amp;M$13,Cronograma!$N$6:$N$53,"&lt;"&amp;EDATE(M$13,1))+COUNTIFS(Cronograma!$C$6:$C$53,$A21,Cronograma!$Q$6:$Q$53,"&gt;="&amp;M$13,Cronograma!$Q$6:$Q$53,"&lt;"&amp;EDATE(M$13,1))+COUNTIFS(Cronograma!$C$6:$C$53,$A21,Cronograma!$R$6:$R$53,"&gt;="&amp;M$13,Cronograma!$R$6:$R$53,"&lt;"&amp;EDATE(M$13,1))+COUNTIFS(Cronograma!$C$6:$C$53,$A21,Cronograma!$S$6:$S$53,"&gt;="&amp;M$13,Cronograma!$S$6:$S$53,"&lt;"&amp;EDATE(M$13,1))</f>
        <v>0</v>
      </c>
      <c r="N21" s="25" t="n">
        <f aca="false">COUNTIFS(Cronograma!$C$6:$C$53,$A21,Cronograma!$N$6:$N$53,"&gt;="&amp;N$13,Cronograma!$N$6:$N$53,"&lt;"&amp;EDATE(N$13,1))+COUNTIFS(Cronograma!$C$6:$C$53,$A21,Cronograma!$Q$6:$Q$53,"&gt;="&amp;N$13,Cronograma!$Q$6:$Q$53,"&lt;"&amp;EDATE(N$13,1))+COUNTIFS(Cronograma!$C$6:$C$53,$A21,Cronograma!$R$6:$R$53,"&gt;="&amp;N$13,Cronograma!$R$6:$R$53,"&lt;"&amp;EDATE(N$13,1))+COUNTIFS(Cronograma!$C$6:$C$53,$A21,Cronograma!$S$6:$S$53,"&gt;="&amp;N$13,Cronograma!$S$6:$S$53,"&lt;"&amp;EDATE(N$13,1))</f>
        <v>1</v>
      </c>
      <c r="O21" s="25" t="n">
        <f aca="false">COUNTIFS(Cronograma!$C$6:$C$53,$A21,Cronograma!$N$6:$N$53,"&gt;="&amp;O$13,Cronograma!$N$6:$N$53,"&lt;"&amp;EDATE(O$13,1))+COUNTIFS(Cronograma!$C$6:$C$53,$A21,Cronograma!$Q$6:$Q$53,"&gt;="&amp;O$13,Cronograma!$Q$6:$Q$53,"&lt;"&amp;EDATE(O$13,1))+COUNTIFS(Cronograma!$C$6:$C$53,$A21,Cronograma!$R$6:$R$53,"&gt;="&amp;O$13,Cronograma!$R$6:$R$53,"&lt;"&amp;EDATE(O$13,1))+COUNTIFS(Cronograma!$C$6:$C$53,$A21,Cronograma!$S$6:$S$53,"&gt;="&amp;O$13,Cronograma!$S$6:$S$53,"&lt;"&amp;EDATE(O$13,1))</f>
        <v>0</v>
      </c>
      <c r="P21" s="25" t="n">
        <f aca="false">COUNTIFS(Cronograma!$C$6:$C$53,$A21,Cronograma!$N$6:$N$53,"&gt;="&amp;P$13,Cronograma!$N$6:$N$53,"&lt;"&amp;EDATE(P$13,1))+COUNTIFS(Cronograma!$C$6:$C$53,$A21,Cronograma!$Q$6:$Q$53,"&gt;="&amp;P$13,Cronograma!$Q$6:$Q$53,"&lt;"&amp;EDATE(P$13,1))+COUNTIFS(Cronograma!$C$6:$C$53,$A21,Cronograma!$R$6:$R$53,"&gt;="&amp;P$13,Cronograma!$R$6:$R$53,"&lt;"&amp;EDATE(P$13,1))+COUNTIFS(Cronograma!$C$6:$C$53,$A21,Cronograma!$S$6:$S$53,"&gt;="&amp;P$13,Cronograma!$S$6:$S$53,"&lt;"&amp;EDATE(P$13,1))</f>
        <v>2</v>
      </c>
      <c r="Q21" s="25" t="n">
        <f aca="false">COUNTIFS(Cronograma!$C$6:$C$53,$A21,Cronograma!$N$6:$N$53,"&gt;="&amp;Q$13,Cronograma!$N$6:$N$53,"&lt;"&amp;EDATE(Q$13,1))+COUNTIFS(Cronograma!$C$6:$C$53,$A21,Cronograma!$Q$6:$Q$53,"&gt;="&amp;Q$13,Cronograma!$Q$6:$Q$53,"&lt;"&amp;EDATE(Q$13,1))+COUNTIFS(Cronograma!$C$6:$C$53,$A21,Cronograma!$R$6:$R$53,"&gt;="&amp;Q$13,Cronograma!$R$6:$R$53,"&lt;"&amp;EDATE(Q$13,1))+COUNTIFS(Cronograma!$C$6:$C$53,$A21,Cronograma!$S$6:$S$53,"&gt;="&amp;Q$13,Cronograma!$S$6:$S$53,"&lt;"&amp;EDATE(Q$13,1))</f>
        <v>0</v>
      </c>
      <c r="R21" s="25" t="n">
        <f aca="false">COUNTIFS(Cronograma!$C$6:$C$53,$A21,Cronograma!$N$6:$N$53,"&gt;="&amp;R$13,Cronograma!$N$6:$N$53,"&lt;"&amp;EDATE(R$13,1))+COUNTIFS(Cronograma!$C$6:$C$53,$A21,Cronograma!$Q$6:$Q$53,"&gt;="&amp;R$13,Cronograma!$Q$6:$Q$53,"&lt;"&amp;EDATE(R$13,1))+COUNTIFS(Cronograma!$C$6:$C$53,$A21,Cronograma!$R$6:$R$53,"&gt;="&amp;R$13,Cronograma!$R$6:$R$53,"&lt;"&amp;EDATE(R$13,1))+COUNTIFS(Cronograma!$C$6:$C$53,$A21,Cronograma!$S$6:$S$53,"&gt;="&amp;R$13,Cronograma!$S$6:$S$53,"&lt;"&amp;EDATE(R$13,1))</f>
        <v>0</v>
      </c>
      <c r="S21" s="25" t="n">
        <f aca="false">COUNTIFS(Cronograma!$C$6:$C$53,$A21,Cronograma!$N$6:$N$53,"&gt;="&amp;S$13,Cronograma!$N$6:$N$53,"&lt;"&amp;EDATE(S$13,1))+COUNTIFS(Cronograma!$C$6:$C$53,$A21,Cronograma!$Q$6:$Q$53,"&gt;="&amp;S$13,Cronograma!$Q$6:$Q$53,"&lt;"&amp;EDATE(S$13,1))+COUNTIFS(Cronograma!$C$6:$C$53,$A21,Cronograma!$R$6:$R$53,"&gt;="&amp;S$13,Cronograma!$R$6:$R$53,"&lt;"&amp;EDATE(S$13,1))+COUNTIFS(Cronograma!$C$6:$C$53,$A21,Cronograma!$S$6:$S$53,"&gt;="&amp;S$13,Cronograma!$S$6:$S$53,"&lt;"&amp;EDATE(S$13,1))</f>
        <v>0</v>
      </c>
      <c r="T21" s="25" t="n">
        <f aca="false">COUNTIFS(Cronograma!$C$6:$C$53,$A21,Cronograma!$N$6:$N$53,"&gt;="&amp;T$13,Cronograma!$N$6:$N$53,"&lt;"&amp;EDATE(T$13,1))+COUNTIFS(Cronograma!$C$6:$C$53,$A21,Cronograma!$Q$6:$Q$53,"&gt;="&amp;T$13,Cronograma!$Q$6:$Q$53,"&lt;"&amp;EDATE(T$13,1))+COUNTIFS(Cronograma!$C$6:$C$53,$A21,Cronograma!$R$6:$R$53,"&gt;="&amp;T$13,Cronograma!$R$6:$R$53,"&lt;"&amp;EDATE(T$13,1))+COUNTIFS(Cronograma!$C$6:$C$53,$A21,Cronograma!$S$6:$S$53,"&gt;="&amp;T$13,Cronograma!$S$6:$S$53,"&lt;"&amp;EDATE(T$13,1))</f>
        <v>1</v>
      </c>
      <c r="U21" s="25" t="n">
        <f aca="false">COUNTIFS(Cronograma!$C$6:$C$53,$A21,Cronograma!$N$6:$N$53,"&gt;="&amp;U$13,Cronograma!$N$6:$N$53,"&lt;"&amp;EDATE(U$13,1))+COUNTIFS(Cronograma!$C$6:$C$53,$A21,Cronograma!$Q$6:$Q$53,"&gt;="&amp;U$13,Cronograma!$Q$6:$Q$53,"&lt;"&amp;EDATE(U$13,1))+COUNTIFS(Cronograma!$C$6:$C$53,$A21,Cronograma!$R$6:$R$53,"&gt;="&amp;U$13,Cronograma!$R$6:$R$53,"&lt;"&amp;EDATE(U$13,1))+COUNTIFS(Cronograma!$C$6:$C$53,$A21,Cronograma!$S$6:$S$53,"&gt;="&amp;U$13,Cronograma!$S$6:$S$53,"&lt;"&amp;EDATE(U$13,1))</f>
        <v>0</v>
      </c>
      <c r="V21" s="25" t="n">
        <f aca="false">COUNTIFS(Cronograma!$C$6:$C$53,$A21,Cronograma!$N$6:$N$53,"&gt;="&amp;V$13,Cronograma!$N$6:$N$53,"&lt;"&amp;EDATE(V$13,1))+COUNTIFS(Cronograma!$C$6:$C$53,$A21,Cronograma!$Q$6:$Q$53,"&gt;="&amp;V$13,Cronograma!$Q$6:$Q$53,"&lt;"&amp;EDATE(V$13,1))+COUNTIFS(Cronograma!$C$6:$C$53,$A21,Cronograma!$R$6:$R$53,"&gt;="&amp;V$13,Cronograma!$R$6:$R$53,"&lt;"&amp;EDATE(V$13,1))+COUNTIFS(Cronograma!$C$6:$C$53,$A21,Cronograma!$S$6:$S$53,"&gt;="&amp;V$13,Cronograma!$S$6:$S$53,"&lt;"&amp;EDATE(V$13,1))</f>
        <v>2</v>
      </c>
      <c r="W21" s="25" t="n">
        <f aca="false">COUNTIFS(Cronograma!$C$6:$C$53,$A21,Cronograma!$N$6:$N$53,"&gt;="&amp;W$13,Cronograma!$N$6:$N$53,"&lt;"&amp;EDATE(W$13,1))+COUNTIFS(Cronograma!$C$6:$C$53,$A21,Cronograma!$Q$6:$Q$53,"&gt;="&amp;W$13,Cronograma!$Q$6:$Q$53,"&lt;"&amp;EDATE(W$13,1))+COUNTIFS(Cronograma!$C$6:$C$53,$A21,Cronograma!$R$6:$R$53,"&gt;="&amp;W$13,Cronograma!$R$6:$R$53,"&lt;"&amp;EDATE(W$13,1))+COUNTIFS(Cronograma!$C$6:$C$53,$A21,Cronograma!$S$6:$S$53,"&gt;="&amp;W$13,Cronograma!$S$6:$S$53,"&lt;"&amp;EDATE(W$13,1))</f>
        <v>0</v>
      </c>
      <c r="X21" s="25" t="n">
        <f aca="false">COUNTIFS(Cronograma!$C$6:$C$53,$A21,Cronograma!$N$6:$N$53,"&gt;="&amp;X$13,Cronograma!$N$6:$N$53,"&lt;"&amp;EDATE(X$13,1))+COUNTIFS(Cronograma!$C$6:$C$53,$A21,Cronograma!$Q$6:$Q$53,"&gt;="&amp;X$13,Cronograma!$Q$6:$Q$53,"&lt;"&amp;EDATE(X$13,1))+COUNTIFS(Cronograma!$C$6:$C$53,$A21,Cronograma!$R$6:$R$53,"&gt;="&amp;X$13,Cronograma!$R$6:$R$53,"&lt;"&amp;EDATE(X$13,1))+COUNTIFS(Cronograma!$C$6:$C$53,$A21,Cronograma!$S$6:$S$53,"&gt;="&amp;X$13,Cronograma!$S$6:$S$53,"&lt;"&amp;EDATE(X$13,1))</f>
        <v>0</v>
      </c>
      <c r="Y21" s="25" t="n">
        <f aca="false">COUNTIFS(Cronograma!$C$6:$C$53,$A21,Cronograma!$N$6:$N$53,"&gt;="&amp;Y$13,Cronograma!$N$6:$N$53,"&lt;"&amp;EDATE(Y$13,1))+COUNTIFS(Cronograma!$C$6:$C$53,$A21,Cronograma!$Q$6:$Q$53,"&gt;="&amp;Y$13,Cronograma!$Q$6:$Q$53,"&lt;"&amp;EDATE(Y$13,1))+COUNTIFS(Cronograma!$C$6:$C$53,$A21,Cronograma!$R$6:$R$53,"&gt;="&amp;Y$13,Cronograma!$R$6:$R$53,"&lt;"&amp;EDATE(Y$13,1))+COUNTIFS(Cronograma!$C$6:$C$53,$A21,Cronograma!$S$6:$S$53,"&gt;="&amp;Y$13,Cronograma!$S$6:$S$53,"&lt;"&amp;EDATE(Y$13,1))</f>
        <v>0</v>
      </c>
      <c r="Z21" s="4" t="n">
        <f aca="false">SUM(B21:Y21)</f>
        <v>12</v>
      </c>
    </row>
    <row r="22" customFormat="false" ht="15" hidden="false" customHeight="false" outlineLevel="0" collapsed="false">
      <c r="A22" s="24" t="s">
        <v>158</v>
      </c>
      <c r="B22" s="25" t="n">
        <f aca="false">COUNTIFS(Cronograma!$C$6:$C$53,$A22,Cronograma!$N$6:$N$53,"&gt;="&amp;B$13,Cronograma!$N$6:$N$53,"&lt;"&amp;EDATE(B$13,1))+COUNTIFS(Cronograma!$C$6:$C$53,$A22,Cronograma!$Q$6:$Q$53,"&gt;="&amp;B$13,Cronograma!$Q$6:$Q$53,"&lt;"&amp;EDATE(B$13,1))+COUNTIFS(Cronograma!$C$6:$C$53,$A22,Cronograma!$R$6:$R$53,"&gt;="&amp;B$13,Cronograma!$R$6:$R$53,"&lt;"&amp;EDATE(B$13,1))+COUNTIFS(Cronograma!$C$6:$C$53,$A22,Cronograma!$S$6:$S$53,"&gt;="&amp;B$13,Cronograma!$S$6:$S$53,"&lt;"&amp;EDATE(B$13,1))</f>
        <v>0</v>
      </c>
      <c r="C22" s="25" t="n">
        <f aca="false">COUNTIFS(Cronograma!$C$6:$C$53,$A22,Cronograma!$N$6:$N$53,"&gt;="&amp;C$13,Cronograma!$N$6:$N$53,"&lt;"&amp;EDATE(C$13,1))+COUNTIFS(Cronograma!$C$6:$C$53,$A22,Cronograma!$Q$6:$Q$53,"&gt;="&amp;C$13,Cronograma!$Q$6:$Q$53,"&lt;"&amp;EDATE(C$13,1))+COUNTIFS(Cronograma!$C$6:$C$53,$A22,Cronograma!$R$6:$R$53,"&gt;="&amp;C$13,Cronograma!$R$6:$R$53,"&lt;"&amp;EDATE(C$13,1))+COUNTIFS(Cronograma!$C$6:$C$53,$A22,Cronograma!$S$6:$S$53,"&gt;="&amp;C$13,Cronograma!$S$6:$S$53,"&lt;"&amp;EDATE(C$13,1))</f>
        <v>0</v>
      </c>
      <c r="D22" s="25" t="n">
        <f aca="false">COUNTIFS(Cronograma!$C$6:$C$53,$A22,Cronograma!$N$6:$N$53,"&gt;="&amp;D$13,Cronograma!$N$6:$N$53,"&lt;"&amp;EDATE(D$13,1))+COUNTIFS(Cronograma!$C$6:$C$53,$A22,Cronograma!$Q$6:$Q$53,"&gt;="&amp;D$13,Cronograma!$Q$6:$Q$53,"&lt;"&amp;EDATE(D$13,1))+COUNTIFS(Cronograma!$C$6:$C$53,$A22,Cronograma!$R$6:$R$53,"&gt;="&amp;D$13,Cronograma!$R$6:$R$53,"&lt;"&amp;EDATE(D$13,1))+COUNTIFS(Cronograma!$C$6:$C$53,$A22,Cronograma!$S$6:$S$53,"&gt;="&amp;D$13,Cronograma!$S$6:$S$53,"&lt;"&amp;EDATE(D$13,1))</f>
        <v>0</v>
      </c>
      <c r="E22" s="25" t="n">
        <f aca="false">COUNTIFS(Cronograma!$C$6:$C$53,$A22,Cronograma!$N$6:$N$53,"&gt;="&amp;E$13,Cronograma!$N$6:$N$53,"&lt;"&amp;EDATE(E$13,1))+COUNTIFS(Cronograma!$C$6:$C$53,$A22,Cronograma!$Q$6:$Q$53,"&gt;="&amp;E$13,Cronograma!$Q$6:$Q$53,"&lt;"&amp;EDATE(E$13,1))+COUNTIFS(Cronograma!$C$6:$C$53,$A22,Cronograma!$R$6:$R$53,"&gt;="&amp;E$13,Cronograma!$R$6:$R$53,"&lt;"&amp;EDATE(E$13,1))+COUNTIFS(Cronograma!$C$6:$C$53,$A22,Cronograma!$S$6:$S$53,"&gt;="&amp;E$13,Cronograma!$S$6:$S$53,"&lt;"&amp;EDATE(E$13,1))</f>
        <v>0</v>
      </c>
      <c r="F22" s="25" t="n">
        <f aca="false">COUNTIFS(Cronograma!$C$6:$C$53,$A22,Cronograma!$N$6:$N$53,"&gt;="&amp;F$13,Cronograma!$N$6:$N$53,"&lt;"&amp;EDATE(F$13,1))+COUNTIFS(Cronograma!$C$6:$C$53,$A22,Cronograma!$Q$6:$Q$53,"&gt;="&amp;F$13,Cronograma!$Q$6:$Q$53,"&lt;"&amp;EDATE(F$13,1))+COUNTIFS(Cronograma!$C$6:$C$53,$A22,Cronograma!$R$6:$R$53,"&gt;="&amp;F$13,Cronograma!$R$6:$R$53,"&lt;"&amp;EDATE(F$13,1))+COUNTIFS(Cronograma!$C$6:$C$53,$A22,Cronograma!$S$6:$S$53,"&gt;="&amp;F$13,Cronograma!$S$6:$S$53,"&lt;"&amp;EDATE(F$13,1))</f>
        <v>1</v>
      </c>
      <c r="G22" s="25" t="n">
        <f aca="false">COUNTIFS(Cronograma!$C$6:$C$53,$A22,Cronograma!$N$6:$N$53,"&gt;="&amp;G$13,Cronograma!$N$6:$N$53,"&lt;"&amp;EDATE(G$13,1))+COUNTIFS(Cronograma!$C$6:$C$53,$A22,Cronograma!$Q$6:$Q$53,"&gt;="&amp;G$13,Cronograma!$Q$6:$Q$53,"&lt;"&amp;EDATE(G$13,1))+COUNTIFS(Cronograma!$C$6:$C$53,$A22,Cronograma!$R$6:$R$53,"&gt;="&amp;G$13,Cronograma!$R$6:$R$53,"&lt;"&amp;EDATE(G$13,1))+COUNTIFS(Cronograma!$C$6:$C$53,$A22,Cronograma!$S$6:$S$53,"&gt;="&amp;G$13,Cronograma!$S$6:$S$53,"&lt;"&amp;EDATE(G$13,1))</f>
        <v>0</v>
      </c>
      <c r="H22" s="25" t="n">
        <f aca="false">COUNTIFS(Cronograma!$C$6:$C$53,$A22,Cronograma!$N$6:$N$53,"&gt;="&amp;H$13,Cronograma!$N$6:$N$53,"&lt;"&amp;EDATE(H$13,1))+COUNTIFS(Cronograma!$C$6:$C$53,$A22,Cronograma!$Q$6:$Q$53,"&gt;="&amp;H$13,Cronograma!$Q$6:$Q$53,"&lt;"&amp;EDATE(H$13,1))+COUNTIFS(Cronograma!$C$6:$C$53,$A22,Cronograma!$R$6:$R$53,"&gt;="&amp;H$13,Cronograma!$R$6:$R$53,"&lt;"&amp;EDATE(H$13,1))+COUNTIFS(Cronograma!$C$6:$C$53,$A22,Cronograma!$S$6:$S$53,"&gt;="&amp;H$13,Cronograma!$S$6:$S$53,"&lt;"&amp;EDATE(H$13,1))</f>
        <v>0</v>
      </c>
      <c r="I22" s="25" t="n">
        <f aca="false">COUNTIFS(Cronograma!$C$6:$C$53,$A22,Cronograma!$N$6:$N$53,"&gt;="&amp;I$13,Cronograma!$N$6:$N$53,"&lt;"&amp;EDATE(I$13,1))+COUNTIFS(Cronograma!$C$6:$C$53,$A22,Cronograma!$Q$6:$Q$53,"&gt;="&amp;I$13,Cronograma!$Q$6:$Q$53,"&lt;"&amp;EDATE(I$13,1))+COUNTIFS(Cronograma!$C$6:$C$53,$A22,Cronograma!$R$6:$R$53,"&gt;="&amp;I$13,Cronograma!$R$6:$R$53,"&lt;"&amp;EDATE(I$13,1))+COUNTIFS(Cronograma!$C$6:$C$53,$A22,Cronograma!$S$6:$S$53,"&gt;="&amp;I$13,Cronograma!$S$6:$S$53,"&lt;"&amp;EDATE(I$13,1))</f>
        <v>0</v>
      </c>
      <c r="J22" s="25" t="n">
        <f aca="false">COUNTIFS(Cronograma!$C$6:$C$53,$A22,Cronograma!$N$6:$N$53,"&gt;="&amp;J$13,Cronograma!$N$6:$N$53,"&lt;"&amp;EDATE(J$13,1))+COUNTIFS(Cronograma!$C$6:$C$53,$A22,Cronograma!$Q$6:$Q$53,"&gt;="&amp;J$13,Cronograma!$Q$6:$Q$53,"&lt;"&amp;EDATE(J$13,1))+COUNTIFS(Cronograma!$C$6:$C$53,$A22,Cronograma!$R$6:$R$53,"&gt;="&amp;J$13,Cronograma!$R$6:$R$53,"&lt;"&amp;EDATE(J$13,1))+COUNTIFS(Cronograma!$C$6:$C$53,$A22,Cronograma!$S$6:$S$53,"&gt;="&amp;J$13,Cronograma!$S$6:$S$53,"&lt;"&amp;EDATE(J$13,1))</f>
        <v>0</v>
      </c>
      <c r="K22" s="25" t="n">
        <f aca="false">COUNTIFS(Cronograma!$C$6:$C$53,$A22,Cronograma!$N$6:$N$53,"&gt;="&amp;K$13,Cronograma!$N$6:$N$53,"&lt;"&amp;EDATE(K$13,1))+COUNTIFS(Cronograma!$C$6:$C$53,$A22,Cronograma!$Q$6:$Q$53,"&gt;="&amp;K$13,Cronograma!$Q$6:$Q$53,"&lt;"&amp;EDATE(K$13,1))+COUNTIFS(Cronograma!$C$6:$C$53,$A22,Cronograma!$R$6:$R$53,"&gt;="&amp;K$13,Cronograma!$R$6:$R$53,"&lt;"&amp;EDATE(K$13,1))+COUNTIFS(Cronograma!$C$6:$C$53,$A22,Cronograma!$S$6:$S$53,"&gt;="&amp;K$13,Cronograma!$S$6:$S$53,"&lt;"&amp;EDATE(K$13,1))</f>
        <v>0</v>
      </c>
      <c r="L22" s="25" t="n">
        <f aca="false">COUNTIFS(Cronograma!$C$6:$C$53,$A22,Cronograma!$N$6:$N$53,"&gt;="&amp;L$13,Cronograma!$N$6:$N$53,"&lt;"&amp;EDATE(L$13,1))+COUNTIFS(Cronograma!$C$6:$C$53,$A22,Cronograma!$Q$6:$Q$53,"&gt;="&amp;L$13,Cronograma!$Q$6:$Q$53,"&lt;"&amp;EDATE(L$13,1))+COUNTIFS(Cronograma!$C$6:$C$53,$A22,Cronograma!$R$6:$R$53,"&gt;="&amp;L$13,Cronograma!$R$6:$R$53,"&lt;"&amp;EDATE(L$13,1))+COUNTIFS(Cronograma!$C$6:$C$53,$A22,Cronograma!$S$6:$S$53,"&gt;="&amp;L$13,Cronograma!$S$6:$S$53,"&lt;"&amp;EDATE(L$13,1))</f>
        <v>1</v>
      </c>
      <c r="M22" s="25" t="n">
        <f aca="false">COUNTIFS(Cronograma!$C$6:$C$53,$A22,Cronograma!$N$6:$N$53,"&gt;="&amp;M$13,Cronograma!$N$6:$N$53,"&lt;"&amp;EDATE(M$13,1))+COUNTIFS(Cronograma!$C$6:$C$53,$A22,Cronograma!$Q$6:$Q$53,"&gt;="&amp;M$13,Cronograma!$Q$6:$Q$53,"&lt;"&amp;EDATE(M$13,1))+COUNTIFS(Cronograma!$C$6:$C$53,$A22,Cronograma!$R$6:$R$53,"&gt;="&amp;M$13,Cronograma!$R$6:$R$53,"&lt;"&amp;EDATE(M$13,1))+COUNTIFS(Cronograma!$C$6:$C$53,$A22,Cronograma!$S$6:$S$53,"&gt;="&amp;M$13,Cronograma!$S$6:$S$53,"&lt;"&amp;EDATE(M$13,1))</f>
        <v>0</v>
      </c>
      <c r="N22" s="25" t="n">
        <f aca="false">COUNTIFS(Cronograma!$C$6:$C$53,$A22,Cronograma!$N$6:$N$53,"&gt;="&amp;N$13,Cronograma!$N$6:$N$53,"&lt;"&amp;EDATE(N$13,1))+COUNTIFS(Cronograma!$C$6:$C$53,$A22,Cronograma!$Q$6:$Q$53,"&gt;="&amp;N$13,Cronograma!$Q$6:$Q$53,"&lt;"&amp;EDATE(N$13,1))+COUNTIFS(Cronograma!$C$6:$C$53,$A22,Cronograma!$R$6:$R$53,"&gt;="&amp;N$13,Cronograma!$R$6:$R$53,"&lt;"&amp;EDATE(N$13,1))+COUNTIFS(Cronograma!$C$6:$C$53,$A22,Cronograma!$S$6:$S$53,"&gt;="&amp;N$13,Cronograma!$S$6:$S$53,"&lt;"&amp;EDATE(N$13,1))</f>
        <v>0</v>
      </c>
      <c r="O22" s="25" t="n">
        <f aca="false">COUNTIFS(Cronograma!$C$6:$C$53,$A22,Cronograma!$N$6:$N$53,"&gt;="&amp;O$13,Cronograma!$N$6:$N$53,"&lt;"&amp;EDATE(O$13,1))+COUNTIFS(Cronograma!$C$6:$C$53,$A22,Cronograma!$Q$6:$Q$53,"&gt;="&amp;O$13,Cronograma!$Q$6:$Q$53,"&lt;"&amp;EDATE(O$13,1))+COUNTIFS(Cronograma!$C$6:$C$53,$A22,Cronograma!$R$6:$R$53,"&gt;="&amp;O$13,Cronograma!$R$6:$R$53,"&lt;"&amp;EDATE(O$13,1))+COUNTIFS(Cronograma!$C$6:$C$53,$A22,Cronograma!$S$6:$S$53,"&gt;="&amp;O$13,Cronograma!$S$6:$S$53,"&lt;"&amp;EDATE(O$13,1))</f>
        <v>0</v>
      </c>
      <c r="P22" s="25" t="n">
        <f aca="false">COUNTIFS(Cronograma!$C$6:$C$53,$A22,Cronograma!$N$6:$N$53,"&gt;="&amp;P$13,Cronograma!$N$6:$N$53,"&lt;"&amp;EDATE(P$13,1))+COUNTIFS(Cronograma!$C$6:$C$53,$A22,Cronograma!$Q$6:$Q$53,"&gt;="&amp;P$13,Cronograma!$Q$6:$Q$53,"&lt;"&amp;EDATE(P$13,1))+COUNTIFS(Cronograma!$C$6:$C$53,$A22,Cronograma!$R$6:$R$53,"&gt;="&amp;P$13,Cronograma!$R$6:$R$53,"&lt;"&amp;EDATE(P$13,1))+COUNTIFS(Cronograma!$C$6:$C$53,$A22,Cronograma!$S$6:$S$53,"&gt;="&amp;P$13,Cronograma!$S$6:$S$53,"&lt;"&amp;EDATE(P$13,1))</f>
        <v>0</v>
      </c>
      <c r="Q22" s="25" t="n">
        <f aca="false">COUNTIFS(Cronograma!$C$6:$C$53,$A22,Cronograma!$N$6:$N$53,"&gt;="&amp;Q$13,Cronograma!$N$6:$N$53,"&lt;"&amp;EDATE(Q$13,1))+COUNTIFS(Cronograma!$C$6:$C$53,$A22,Cronograma!$Q$6:$Q$53,"&gt;="&amp;Q$13,Cronograma!$Q$6:$Q$53,"&lt;"&amp;EDATE(Q$13,1))+COUNTIFS(Cronograma!$C$6:$C$53,$A22,Cronograma!$R$6:$R$53,"&gt;="&amp;Q$13,Cronograma!$R$6:$R$53,"&lt;"&amp;EDATE(Q$13,1))+COUNTIFS(Cronograma!$C$6:$C$53,$A22,Cronograma!$S$6:$S$53,"&gt;="&amp;Q$13,Cronograma!$S$6:$S$53,"&lt;"&amp;EDATE(Q$13,1))</f>
        <v>0</v>
      </c>
      <c r="R22" s="25" t="n">
        <f aca="false">COUNTIFS(Cronograma!$C$6:$C$53,$A22,Cronograma!$N$6:$N$53,"&gt;="&amp;R$13,Cronograma!$N$6:$N$53,"&lt;"&amp;EDATE(R$13,1))+COUNTIFS(Cronograma!$C$6:$C$53,$A22,Cronograma!$Q$6:$Q$53,"&gt;="&amp;R$13,Cronograma!$Q$6:$Q$53,"&lt;"&amp;EDATE(R$13,1))+COUNTIFS(Cronograma!$C$6:$C$53,$A22,Cronograma!$R$6:$R$53,"&gt;="&amp;R$13,Cronograma!$R$6:$R$53,"&lt;"&amp;EDATE(R$13,1))+COUNTIFS(Cronograma!$C$6:$C$53,$A22,Cronograma!$S$6:$S$53,"&gt;="&amp;R$13,Cronograma!$S$6:$S$53,"&lt;"&amp;EDATE(R$13,1))</f>
        <v>1</v>
      </c>
      <c r="S22" s="25" t="n">
        <f aca="false">COUNTIFS(Cronograma!$C$6:$C$53,$A22,Cronograma!$N$6:$N$53,"&gt;="&amp;S$13,Cronograma!$N$6:$N$53,"&lt;"&amp;EDATE(S$13,1))+COUNTIFS(Cronograma!$C$6:$C$53,$A22,Cronograma!$Q$6:$Q$53,"&gt;="&amp;S$13,Cronograma!$Q$6:$Q$53,"&lt;"&amp;EDATE(S$13,1))+COUNTIFS(Cronograma!$C$6:$C$53,$A22,Cronograma!$R$6:$R$53,"&gt;="&amp;S$13,Cronograma!$R$6:$R$53,"&lt;"&amp;EDATE(S$13,1))+COUNTIFS(Cronograma!$C$6:$C$53,$A22,Cronograma!$S$6:$S$53,"&gt;="&amp;S$13,Cronograma!$S$6:$S$53,"&lt;"&amp;EDATE(S$13,1))</f>
        <v>0</v>
      </c>
      <c r="T22" s="25" t="n">
        <f aca="false">COUNTIFS(Cronograma!$C$6:$C$53,$A22,Cronograma!$N$6:$N$53,"&gt;="&amp;T$13,Cronograma!$N$6:$N$53,"&lt;"&amp;EDATE(T$13,1))+COUNTIFS(Cronograma!$C$6:$C$53,$A22,Cronograma!$Q$6:$Q$53,"&gt;="&amp;T$13,Cronograma!$Q$6:$Q$53,"&lt;"&amp;EDATE(T$13,1))+COUNTIFS(Cronograma!$C$6:$C$53,$A22,Cronograma!$R$6:$R$53,"&gt;="&amp;T$13,Cronograma!$R$6:$R$53,"&lt;"&amp;EDATE(T$13,1))+COUNTIFS(Cronograma!$C$6:$C$53,$A22,Cronograma!$S$6:$S$53,"&gt;="&amp;T$13,Cronograma!$S$6:$S$53,"&lt;"&amp;EDATE(T$13,1))</f>
        <v>0</v>
      </c>
      <c r="U22" s="25" t="n">
        <f aca="false">COUNTIFS(Cronograma!$C$6:$C$53,$A22,Cronograma!$N$6:$N$53,"&gt;="&amp;U$13,Cronograma!$N$6:$N$53,"&lt;"&amp;EDATE(U$13,1))+COUNTIFS(Cronograma!$C$6:$C$53,$A22,Cronograma!$Q$6:$Q$53,"&gt;="&amp;U$13,Cronograma!$Q$6:$Q$53,"&lt;"&amp;EDATE(U$13,1))+COUNTIFS(Cronograma!$C$6:$C$53,$A22,Cronograma!$R$6:$R$53,"&gt;="&amp;U$13,Cronograma!$R$6:$R$53,"&lt;"&amp;EDATE(U$13,1))+COUNTIFS(Cronograma!$C$6:$C$53,$A22,Cronograma!$S$6:$S$53,"&gt;="&amp;U$13,Cronograma!$S$6:$S$53,"&lt;"&amp;EDATE(U$13,1))</f>
        <v>0</v>
      </c>
      <c r="V22" s="25" t="n">
        <f aca="false">COUNTIFS(Cronograma!$C$6:$C$53,$A22,Cronograma!$N$6:$N$53,"&gt;="&amp;V$13,Cronograma!$N$6:$N$53,"&lt;"&amp;EDATE(V$13,1))+COUNTIFS(Cronograma!$C$6:$C$53,$A22,Cronograma!$Q$6:$Q$53,"&gt;="&amp;V$13,Cronograma!$Q$6:$Q$53,"&lt;"&amp;EDATE(V$13,1))+COUNTIFS(Cronograma!$C$6:$C$53,$A22,Cronograma!$R$6:$R$53,"&gt;="&amp;V$13,Cronograma!$R$6:$R$53,"&lt;"&amp;EDATE(V$13,1))+COUNTIFS(Cronograma!$C$6:$C$53,$A22,Cronograma!$S$6:$S$53,"&gt;="&amp;V$13,Cronograma!$S$6:$S$53,"&lt;"&amp;EDATE(V$13,1))</f>
        <v>0</v>
      </c>
      <c r="W22" s="25" t="n">
        <f aca="false">COUNTIFS(Cronograma!$C$6:$C$53,$A22,Cronograma!$N$6:$N$53,"&gt;="&amp;W$13,Cronograma!$N$6:$N$53,"&lt;"&amp;EDATE(W$13,1))+COUNTIFS(Cronograma!$C$6:$C$53,$A22,Cronograma!$Q$6:$Q$53,"&gt;="&amp;W$13,Cronograma!$Q$6:$Q$53,"&lt;"&amp;EDATE(W$13,1))+COUNTIFS(Cronograma!$C$6:$C$53,$A22,Cronograma!$R$6:$R$53,"&gt;="&amp;W$13,Cronograma!$R$6:$R$53,"&lt;"&amp;EDATE(W$13,1))+COUNTIFS(Cronograma!$C$6:$C$53,$A22,Cronograma!$S$6:$S$53,"&gt;="&amp;W$13,Cronograma!$S$6:$S$53,"&lt;"&amp;EDATE(W$13,1))</f>
        <v>0</v>
      </c>
      <c r="X22" s="25" t="n">
        <f aca="false">COUNTIFS(Cronograma!$C$6:$C$53,$A22,Cronograma!$N$6:$N$53,"&gt;="&amp;X$13,Cronograma!$N$6:$N$53,"&lt;"&amp;EDATE(X$13,1))+COUNTIFS(Cronograma!$C$6:$C$53,$A22,Cronograma!$Q$6:$Q$53,"&gt;="&amp;X$13,Cronograma!$Q$6:$Q$53,"&lt;"&amp;EDATE(X$13,1))+COUNTIFS(Cronograma!$C$6:$C$53,$A22,Cronograma!$R$6:$R$53,"&gt;="&amp;X$13,Cronograma!$R$6:$R$53,"&lt;"&amp;EDATE(X$13,1))+COUNTIFS(Cronograma!$C$6:$C$53,$A22,Cronograma!$S$6:$S$53,"&gt;="&amp;X$13,Cronograma!$S$6:$S$53,"&lt;"&amp;EDATE(X$13,1))</f>
        <v>1</v>
      </c>
      <c r="Y22" s="25" t="n">
        <f aca="false">COUNTIFS(Cronograma!$C$6:$C$53,$A22,Cronograma!$N$6:$N$53,"&gt;="&amp;Y$13,Cronograma!$N$6:$N$53,"&lt;"&amp;EDATE(Y$13,1))+COUNTIFS(Cronograma!$C$6:$C$53,$A22,Cronograma!$Q$6:$Q$53,"&gt;="&amp;Y$13,Cronograma!$Q$6:$Q$53,"&lt;"&amp;EDATE(Y$13,1))+COUNTIFS(Cronograma!$C$6:$C$53,$A22,Cronograma!$R$6:$R$53,"&gt;="&amp;Y$13,Cronograma!$R$6:$R$53,"&lt;"&amp;EDATE(Y$13,1))+COUNTIFS(Cronograma!$C$6:$C$53,$A22,Cronograma!$S$6:$S$53,"&gt;="&amp;Y$13,Cronograma!$S$6:$S$53,"&lt;"&amp;EDATE(Y$13,1))</f>
        <v>0</v>
      </c>
      <c r="Z22" s="4" t="n">
        <f aca="false">SUM(B22:Y22)</f>
        <v>4</v>
      </c>
    </row>
    <row r="23" customFormat="false" ht="15" hidden="false" customHeight="false" outlineLevel="0" collapsed="false">
      <c r="A23" s="24" t="s">
        <v>78</v>
      </c>
      <c r="B23" s="25" t="n">
        <f aca="false">COUNTIFS(Cronograma!$C$6:$C$53,$A23,Cronograma!$N$6:$N$53,"&gt;="&amp;B$13,Cronograma!$N$6:$N$53,"&lt;"&amp;EDATE(B$13,1))+COUNTIFS(Cronograma!$C$6:$C$53,$A23,Cronograma!$Q$6:$Q$53,"&gt;="&amp;B$13,Cronograma!$Q$6:$Q$53,"&lt;"&amp;EDATE(B$13,1))+COUNTIFS(Cronograma!$C$6:$C$53,$A23,Cronograma!$R$6:$R$53,"&gt;="&amp;B$13,Cronograma!$R$6:$R$53,"&lt;"&amp;EDATE(B$13,1))+COUNTIFS(Cronograma!$C$6:$C$53,$A23,Cronograma!$S$6:$S$53,"&gt;="&amp;B$13,Cronograma!$S$6:$S$53,"&lt;"&amp;EDATE(B$13,1))</f>
        <v>4</v>
      </c>
      <c r="C23" s="25" t="n">
        <f aca="false">COUNTIFS(Cronograma!$C$6:$C$53,$A23,Cronograma!$N$6:$N$53,"&gt;="&amp;C$13,Cronograma!$N$6:$N$53,"&lt;"&amp;EDATE(C$13,1))+COUNTIFS(Cronograma!$C$6:$C$53,$A23,Cronograma!$Q$6:$Q$53,"&gt;="&amp;C$13,Cronograma!$Q$6:$Q$53,"&lt;"&amp;EDATE(C$13,1))+COUNTIFS(Cronograma!$C$6:$C$53,$A23,Cronograma!$R$6:$R$53,"&gt;="&amp;C$13,Cronograma!$R$6:$R$53,"&lt;"&amp;EDATE(C$13,1))+COUNTIFS(Cronograma!$C$6:$C$53,$A23,Cronograma!$S$6:$S$53,"&gt;="&amp;C$13,Cronograma!$S$6:$S$53,"&lt;"&amp;EDATE(C$13,1))</f>
        <v>0</v>
      </c>
      <c r="D23" s="25" t="n">
        <f aca="false">COUNTIFS(Cronograma!$C$6:$C$53,$A23,Cronograma!$N$6:$N$53,"&gt;="&amp;D$13,Cronograma!$N$6:$N$53,"&lt;"&amp;EDATE(D$13,1))+COUNTIFS(Cronograma!$C$6:$C$53,$A23,Cronograma!$Q$6:$Q$53,"&gt;="&amp;D$13,Cronograma!$Q$6:$Q$53,"&lt;"&amp;EDATE(D$13,1))+COUNTIFS(Cronograma!$C$6:$C$53,$A23,Cronograma!$R$6:$R$53,"&gt;="&amp;D$13,Cronograma!$R$6:$R$53,"&lt;"&amp;EDATE(D$13,1))+COUNTIFS(Cronograma!$C$6:$C$53,$A23,Cronograma!$S$6:$S$53,"&gt;="&amp;D$13,Cronograma!$S$6:$S$53,"&lt;"&amp;EDATE(D$13,1))</f>
        <v>4</v>
      </c>
      <c r="E23" s="25" t="n">
        <f aca="false">COUNTIFS(Cronograma!$C$6:$C$53,$A23,Cronograma!$N$6:$N$53,"&gt;="&amp;E$13,Cronograma!$N$6:$N$53,"&lt;"&amp;EDATE(E$13,1))+COUNTIFS(Cronograma!$C$6:$C$53,$A23,Cronograma!$Q$6:$Q$53,"&gt;="&amp;E$13,Cronograma!$Q$6:$Q$53,"&lt;"&amp;EDATE(E$13,1))+COUNTIFS(Cronograma!$C$6:$C$53,$A23,Cronograma!$R$6:$R$53,"&gt;="&amp;E$13,Cronograma!$R$6:$R$53,"&lt;"&amp;EDATE(E$13,1))+COUNTIFS(Cronograma!$C$6:$C$53,$A23,Cronograma!$S$6:$S$53,"&gt;="&amp;E$13,Cronograma!$S$6:$S$53,"&lt;"&amp;EDATE(E$13,1))</f>
        <v>0</v>
      </c>
      <c r="F23" s="25" t="n">
        <f aca="false">COUNTIFS(Cronograma!$C$6:$C$53,$A23,Cronograma!$N$6:$N$53,"&gt;="&amp;F$13,Cronograma!$N$6:$N$53,"&lt;"&amp;EDATE(F$13,1))+COUNTIFS(Cronograma!$C$6:$C$53,$A23,Cronograma!$Q$6:$Q$53,"&gt;="&amp;F$13,Cronograma!$Q$6:$Q$53,"&lt;"&amp;EDATE(F$13,1))+COUNTIFS(Cronograma!$C$6:$C$53,$A23,Cronograma!$R$6:$R$53,"&gt;="&amp;F$13,Cronograma!$R$6:$R$53,"&lt;"&amp;EDATE(F$13,1))+COUNTIFS(Cronograma!$C$6:$C$53,$A23,Cronograma!$S$6:$S$53,"&gt;="&amp;F$13,Cronograma!$S$6:$S$53,"&lt;"&amp;EDATE(F$13,1))</f>
        <v>4</v>
      </c>
      <c r="G23" s="25" t="n">
        <f aca="false">COUNTIFS(Cronograma!$C$6:$C$53,$A23,Cronograma!$N$6:$N$53,"&gt;="&amp;G$13,Cronograma!$N$6:$N$53,"&lt;"&amp;EDATE(G$13,1))+COUNTIFS(Cronograma!$C$6:$C$53,$A23,Cronograma!$Q$6:$Q$53,"&gt;="&amp;G$13,Cronograma!$Q$6:$Q$53,"&lt;"&amp;EDATE(G$13,1))+COUNTIFS(Cronograma!$C$6:$C$53,$A23,Cronograma!$R$6:$R$53,"&gt;="&amp;G$13,Cronograma!$R$6:$R$53,"&lt;"&amp;EDATE(G$13,1))+COUNTIFS(Cronograma!$C$6:$C$53,$A23,Cronograma!$S$6:$S$53,"&gt;="&amp;G$13,Cronograma!$S$6:$S$53,"&lt;"&amp;EDATE(G$13,1))</f>
        <v>4</v>
      </c>
      <c r="H23" s="25" t="n">
        <f aca="false">COUNTIFS(Cronograma!$C$6:$C$53,$A23,Cronograma!$N$6:$N$53,"&gt;="&amp;H$13,Cronograma!$N$6:$N$53,"&lt;"&amp;EDATE(H$13,1))+COUNTIFS(Cronograma!$C$6:$C$53,$A23,Cronograma!$Q$6:$Q$53,"&gt;="&amp;H$13,Cronograma!$Q$6:$Q$53,"&lt;"&amp;EDATE(H$13,1))+COUNTIFS(Cronograma!$C$6:$C$53,$A23,Cronograma!$R$6:$R$53,"&gt;="&amp;H$13,Cronograma!$R$6:$R$53,"&lt;"&amp;EDATE(H$13,1))+COUNTIFS(Cronograma!$C$6:$C$53,$A23,Cronograma!$S$6:$S$53,"&gt;="&amp;H$13,Cronograma!$S$6:$S$53,"&lt;"&amp;EDATE(H$13,1))</f>
        <v>4</v>
      </c>
      <c r="I23" s="25" t="n">
        <f aca="false">COUNTIFS(Cronograma!$C$6:$C$53,$A23,Cronograma!$N$6:$N$53,"&gt;="&amp;I$13,Cronograma!$N$6:$N$53,"&lt;"&amp;EDATE(I$13,1))+COUNTIFS(Cronograma!$C$6:$C$53,$A23,Cronograma!$Q$6:$Q$53,"&gt;="&amp;I$13,Cronograma!$Q$6:$Q$53,"&lt;"&amp;EDATE(I$13,1))+COUNTIFS(Cronograma!$C$6:$C$53,$A23,Cronograma!$R$6:$R$53,"&gt;="&amp;I$13,Cronograma!$R$6:$R$53,"&lt;"&amp;EDATE(I$13,1))+COUNTIFS(Cronograma!$C$6:$C$53,$A23,Cronograma!$S$6:$S$53,"&gt;="&amp;I$13,Cronograma!$S$6:$S$53,"&lt;"&amp;EDATE(I$13,1))</f>
        <v>0</v>
      </c>
      <c r="J23" s="25" t="n">
        <f aca="false">COUNTIFS(Cronograma!$C$6:$C$53,$A23,Cronograma!$N$6:$N$53,"&gt;="&amp;J$13,Cronograma!$N$6:$N$53,"&lt;"&amp;EDATE(J$13,1))+COUNTIFS(Cronograma!$C$6:$C$53,$A23,Cronograma!$Q$6:$Q$53,"&gt;="&amp;J$13,Cronograma!$Q$6:$Q$53,"&lt;"&amp;EDATE(J$13,1))+COUNTIFS(Cronograma!$C$6:$C$53,$A23,Cronograma!$R$6:$R$53,"&gt;="&amp;J$13,Cronograma!$R$6:$R$53,"&lt;"&amp;EDATE(J$13,1))+COUNTIFS(Cronograma!$C$6:$C$53,$A23,Cronograma!$S$6:$S$53,"&gt;="&amp;J$13,Cronograma!$S$6:$S$53,"&lt;"&amp;EDATE(J$13,1))</f>
        <v>4</v>
      </c>
      <c r="K23" s="25" t="n">
        <f aca="false">COUNTIFS(Cronograma!$C$6:$C$53,$A23,Cronograma!$N$6:$N$53,"&gt;="&amp;K$13,Cronograma!$N$6:$N$53,"&lt;"&amp;EDATE(K$13,1))+COUNTIFS(Cronograma!$C$6:$C$53,$A23,Cronograma!$Q$6:$Q$53,"&gt;="&amp;K$13,Cronograma!$Q$6:$Q$53,"&lt;"&amp;EDATE(K$13,1))+COUNTIFS(Cronograma!$C$6:$C$53,$A23,Cronograma!$R$6:$R$53,"&gt;="&amp;K$13,Cronograma!$R$6:$R$53,"&lt;"&amp;EDATE(K$13,1))+COUNTIFS(Cronograma!$C$6:$C$53,$A23,Cronograma!$S$6:$S$53,"&gt;="&amp;K$13,Cronograma!$S$6:$S$53,"&lt;"&amp;EDATE(K$13,1))</f>
        <v>0</v>
      </c>
      <c r="L23" s="25" t="n">
        <f aca="false">COUNTIFS(Cronograma!$C$6:$C$53,$A23,Cronograma!$N$6:$N$53,"&gt;="&amp;L$13,Cronograma!$N$6:$N$53,"&lt;"&amp;EDATE(L$13,1))+COUNTIFS(Cronograma!$C$6:$C$53,$A23,Cronograma!$Q$6:$Q$53,"&gt;="&amp;L$13,Cronograma!$Q$6:$Q$53,"&lt;"&amp;EDATE(L$13,1))+COUNTIFS(Cronograma!$C$6:$C$53,$A23,Cronograma!$R$6:$R$53,"&gt;="&amp;L$13,Cronograma!$R$6:$R$53,"&lt;"&amp;EDATE(L$13,1))+COUNTIFS(Cronograma!$C$6:$C$53,$A23,Cronograma!$S$6:$S$53,"&gt;="&amp;L$13,Cronograma!$S$6:$S$53,"&lt;"&amp;EDATE(L$13,1))</f>
        <v>4</v>
      </c>
      <c r="M23" s="25" t="n">
        <f aca="false">COUNTIFS(Cronograma!$C$6:$C$53,$A23,Cronograma!$N$6:$N$53,"&gt;="&amp;M$13,Cronograma!$N$6:$N$53,"&lt;"&amp;EDATE(M$13,1))+COUNTIFS(Cronograma!$C$6:$C$53,$A23,Cronograma!$Q$6:$Q$53,"&gt;="&amp;M$13,Cronograma!$Q$6:$Q$53,"&lt;"&amp;EDATE(M$13,1))+COUNTIFS(Cronograma!$C$6:$C$53,$A23,Cronograma!$R$6:$R$53,"&gt;="&amp;M$13,Cronograma!$R$6:$R$53,"&lt;"&amp;EDATE(M$13,1))+COUNTIFS(Cronograma!$C$6:$C$53,$A23,Cronograma!$S$6:$S$53,"&gt;="&amp;M$13,Cronograma!$S$6:$S$53,"&lt;"&amp;EDATE(M$13,1))</f>
        <v>4</v>
      </c>
      <c r="N23" s="25" t="n">
        <f aca="false">COUNTIFS(Cronograma!$C$6:$C$53,$A23,Cronograma!$N$6:$N$53,"&gt;="&amp;N$13,Cronograma!$N$6:$N$53,"&lt;"&amp;EDATE(N$13,1))+COUNTIFS(Cronograma!$C$6:$C$53,$A23,Cronograma!$Q$6:$Q$53,"&gt;="&amp;N$13,Cronograma!$Q$6:$Q$53,"&lt;"&amp;EDATE(N$13,1))+COUNTIFS(Cronograma!$C$6:$C$53,$A23,Cronograma!$R$6:$R$53,"&gt;="&amp;N$13,Cronograma!$R$6:$R$53,"&lt;"&amp;EDATE(N$13,1))+COUNTIFS(Cronograma!$C$6:$C$53,$A23,Cronograma!$S$6:$S$53,"&gt;="&amp;N$13,Cronograma!$S$6:$S$53,"&lt;"&amp;EDATE(N$13,1))</f>
        <v>4</v>
      </c>
      <c r="O23" s="25" t="n">
        <f aca="false">COUNTIFS(Cronograma!$C$6:$C$53,$A23,Cronograma!$N$6:$N$53,"&gt;="&amp;O$13,Cronograma!$N$6:$N$53,"&lt;"&amp;EDATE(O$13,1))+COUNTIFS(Cronograma!$C$6:$C$53,$A23,Cronograma!$Q$6:$Q$53,"&gt;="&amp;O$13,Cronograma!$Q$6:$Q$53,"&lt;"&amp;EDATE(O$13,1))+COUNTIFS(Cronograma!$C$6:$C$53,$A23,Cronograma!$R$6:$R$53,"&gt;="&amp;O$13,Cronograma!$R$6:$R$53,"&lt;"&amp;EDATE(O$13,1))+COUNTIFS(Cronograma!$C$6:$C$53,$A23,Cronograma!$S$6:$S$53,"&gt;="&amp;O$13,Cronograma!$S$6:$S$53,"&lt;"&amp;EDATE(O$13,1))</f>
        <v>0</v>
      </c>
      <c r="P23" s="25" t="n">
        <f aca="false">COUNTIFS(Cronograma!$C$6:$C$53,$A23,Cronograma!$N$6:$N$53,"&gt;="&amp;P$13,Cronograma!$N$6:$N$53,"&lt;"&amp;EDATE(P$13,1))+COUNTIFS(Cronograma!$C$6:$C$53,$A23,Cronograma!$Q$6:$Q$53,"&gt;="&amp;P$13,Cronograma!$Q$6:$Q$53,"&lt;"&amp;EDATE(P$13,1))+COUNTIFS(Cronograma!$C$6:$C$53,$A23,Cronograma!$R$6:$R$53,"&gt;="&amp;P$13,Cronograma!$R$6:$R$53,"&lt;"&amp;EDATE(P$13,1))+COUNTIFS(Cronograma!$C$6:$C$53,$A23,Cronograma!$S$6:$S$53,"&gt;="&amp;P$13,Cronograma!$S$6:$S$53,"&lt;"&amp;EDATE(P$13,1))</f>
        <v>4</v>
      </c>
      <c r="Q23" s="25" t="n">
        <f aca="false">COUNTIFS(Cronograma!$C$6:$C$53,$A23,Cronograma!$N$6:$N$53,"&gt;="&amp;Q$13,Cronograma!$N$6:$N$53,"&lt;"&amp;EDATE(Q$13,1))+COUNTIFS(Cronograma!$C$6:$C$53,$A23,Cronograma!$Q$6:$Q$53,"&gt;="&amp;Q$13,Cronograma!$Q$6:$Q$53,"&lt;"&amp;EDATE(Q$13,1))+COUNTIFS(Cronograma!$C$6:$C$53,$A23,Cronograma!$R$6:$R$53,"&gt;="&amp;Q$13,Cronograma!$R$6:$R$53,"&lt;"&amp;EDATE(Q$13,1))+COUNTIFS(Cronograma!$C$6:$C$53,$A23,Cronograma!$S$6:$S$53,"&gt;="&amp;Q$13,Cronograma!$S$6:$S$53,"&lt;"&amp;EDATE(Q$13,1))</f>
        <v>0</v>
      </c>
      <c r="R23" s="25" t="n">
        <f aca="false">COUNTIFS(Cronograma!$C$6:$C$53,$A23,Cronograma!$N$6:$N$53,"&gt;="&amp;R$13,Cronograma!$N$6:$N$53,"&lt;"&amp;EDATE(R$13,1))+COUNTIFS(Cronograma!$C$6:$C$53,$A23,Cronograma!$Q$6:$Q$53,"&gt;="&amp;R$13,Cronograma!$Q$6:$Q$53,"&lt;"&amp;EDATE(R$13,1))+COUNTIFS(Cronograma!$C$6:$C$53,$A23,Cronograma!$R$6:$R$53,"&gt;="&amp;R$13,Cronograma!$R$6:$R$53,"&lt;"&amp;EDATE(R$13,1))+COUNTIFS(Cronograma!$C$6:$C$53,$A23,Cronograma!$S$6:$S$53,"&gt;="&amp;R$13,Cronograma!$S$6:$S$53,"&lt;"&amp;EDATE(R$13,1))</f>
        <v>4</v>
      </c>
      <c r="S23" s="25" t="n">
        <f aca="false">COUNTIFS(Cronograma!$C$6:$C$53,$A23,Cronograma!$N$6:$N$53,"&gt;="&amp;S$13,Cronograma!$N$6:$N$53,"&lt;"&amp;EDATE(S$13,1))+COUNTIFS(Cronograma!$C$6:$C$53,$A23,Cronograma!$Q$6:$Q$53,"&gt;="&amp;S$13,Cronograma!$Q$6:$Q$53,"&lt;"&amp;EDATE(S$13,1))+COUNTIFS(Cronograma!$C$6:$C$53,$A23,Cronograma!$R$6:$R$53,"&gt;="&amp;S$13,Cronograma!$R$6:$R$53,"&lt;"&amp;EDATE(S$13,1))+COUNTIFS(Cronograma!$C$6:$C$53,$A23,Cronograma!$S$6:$S$53,"&gt;="&amp;S$13,Cronograma!$S$6:$S$53,"&lt;"&amp;EDATE(S$13,1))</f>
        <v>4</v>
      </c>
      <c r="T23" s="25" t="n">
        <f aca="false">COUNTIFS(Cronograma!$C$6:$C$53,$A23,Cronograma!$N$6:$N$53,"&gt;="&amp;T$13,Cronograma!$N$6:$N$53,"&lt;"&amp;EDATE(T$13,1))+COUNTIFS(Cronograma!$C$6:$C$53,$A23,Cronograma!$Q$6:$Q$53,"&gt;="&amp;T$13,Cronograma!$Q$6:$Q$53,"&lt;"&amp;EDATE(T$13,1))+COUNTIFS(Cronograma!$C$6:$C$53,$A23,Cronograma!$R$6:$R$53,"&gt;="&amp;T$13,Cronograma!$R$6:$R$53,"&lt;"&amp;EDATE(T$13,1))+COUNTIFS(Cronograma!$C$6:$C$53,$A23,Cronograma!$S$6:$S$53,"&gt;="&amp;T$13,Cronograma!$S$6:$S$53,"&lt;"&amp;EDATE(T$13,1))</f>
        <v>4</v>
      </c>
      <c r="U23" s="25" t="n">
        <f aca="false">COUNTIFS(Cronograma!$C$6:$C$53,$A23,Cronograma!$N$6:$N$53,"&gt;="&amp;U$13,Cronograma!$N$6:$N$53,"&lt;"&amp;EDATE(U$13,1))+COUNTIFS(Cronograma!$C$6:$C$53,$A23,Cronograma!$Q$6:$Q$53,"&gt;="&amp;U$13,Cronograma!$Q$6:$Q$53,"&lt;"&amp;EDATE(U$13,1))+COUNTIFS(Cronograma!$C$6:$C$53,$A23,Cronograma!$R$6:$R$53,"&gt;="&amp;U$13,Cronograma!$R$6:$R$53,"&lt;"&amp;EDATE(U$13,1))+COUNTIFS(Cronograma!$C$6:$C$53,$A23,Cronograma!$S$6:$S$53,"&gt;="&amp;U$13,Cronograma!$S$6:$S$53,"&lt;"&amp;EDATE(U$13,1))</f>
        <v>0</v>
      </c>
      <c r="V23" s="25" t="n">
        <f aca="false">COUNTIFS(Cronograma!$C$6:$C$53,$A23,Cronograma!$N$6:$N$53,"&gt;="&amp;V$13,Cronograma!$N$6:$N$53,"&lt;"&amp;EDATE(V$13,1))+COUNTIFS(Cronograma!$C$6:$C$53,$A23,Cronograma!$Q$6:$Q$53,"&gt;="&amp;V$13,Cronograma!$Q$6:$Q$53,"&lt;"&amp;EDATE(V$13,1))+COUNTIFS(Cronograma!$C$6:$C$53,$A23,Cronograma!$R$6:$R$53,"&gt;="&amp;V$13,Cronograma!$R$6:$R$53,"&lt;"&amp;EDATE(V$13,1))+COUNTIFS(Cronograma!$C$6:$C$53,$A23,Cronograma!$S$6:$S$53,"&gt;="&amp;V$13,Cronograma!$S$6:$S$53,"&lt;"&amp;EDATE(V$13,1))</f>
        <v>4</v>
      </c>
      <c r="W23" s="25" t="n">
        <f aca="false">COUNTIFS(Cronograma!$C$6:$C$53,$A23,Cronograma!$N$6:$N$53,"&gt;="&amp;W$13,Cronograma!$N$6:$N$53,"&lt;"&amp;EDATE(W$13,1))+COUNTIFS(Cronograma!$C$6:$C$53,$A23,Cronograma!$Q$6:$Q$53,"&gt;="&amp;W$13,Cronograma!$Q$6:$Q$53,"&lt;"&amp;EDATE(W$13,1))+COUNTIFS(Cronograma!$C$6:$C$53,$A23,Cronograma!$R$6:$R$53,"&gt;="&amp;W$13,Cronograma!$R$6:$R$53,"&lt;"&amp;EDATE(W$13,1))+COUNTIFS(Cronograma!$C$6:$C$53,$A23,Cronograma!$S$6:$S$53,"&gt;="&amp;W$13,Cronograma!$S$6:$S$53,"&lt;"&amp;EDATE(W$13,1))</f>
        <v>0</v>
      </c>
      <c r="X23" s="25" t="n">
        <f aca="false">COUNTIFS(Cronograma!$C$6:$C$53,$A23,Cronograma!$N$6:$N$53,"&gt;="&amp;X$13,Cronograma!$N$6:$N$53,"&lt;"&amp;EDATE(X$13,1))+COUNTIFS(Cronograma!$C$6:$C$53,$A23,Cronograma!$Q$6:$Q$53,"&gt;="&amp;X$13,Cronograma!$Q$6:$Q$53,"&lt;"&amp;EDATE(X$13,1))+COUNTIFS(Cronograma!$C$6:$C$53,$A23,Cronograma!$R$6:$R$53,"&gt;="&amp;X$13,Cronograma!$R$6:$R$53,"&lt;"&amp;EDATE(X$13,1))+COUNTIFS(Cronograma!$C$6:$C$53,$A23,Cronograma!$S$6:$S$53,"&gt;="&amp;X$13,Cronograma!$S$6:$S$53,"&lt;"&amp;EDATE(X$13,1))</f>
        <v>4</v>
      </c>
      <c r="Y23" s="25" t="n">
        <f aca="false">COUNTIFS(Cronograma!$C$6:$C$53,$A23,Cronograma!$N$6:$N$53,"&gt;="&amp;Y$13,Cronograma!$N$6:$N$53,"&lt;"&amp;EDATE(Y$13,1))+COUNTIFS(Cronograma!$C$6:$C$53,$A23,Cronograma!$Q$6:$Q$53,"&gt;="&amp;Y$13,Cronograma!$Q$6:$Q$53,"&lt;"&amp;EDATE(Y$13,1))+COUNTIFS(Cronograma!$C$6:$C$53,$A23,Cronograma!$R$6:$R$53,"&gt;="&amp;Y$13,Cronograma!$R$6:$R$53,"&lt;"&amp;EDATE(Y$13,1))+COUNTIFS(Cronograma!$C$6:$C$53,$A23,Cronograma!$S$6:$S$53,"&gt;="&amp;Y$13,Cronograma!$S$6:$S$53,"&lt;"&amp;EDATE(Y$13,1))</f>
        <v>4</v>
      </c>
      <c r="Z23" s="4" t="n">
        <f aca="false">SUM(B23:Y23)</f>
        <v>64</v>
      </c>
    </row>
    <row r="24" customFormat="false" ht="15" hidden="false" customHeight="false" outlineLevel="0" collapsed="false">
      <c r="A24" s="26" t="s">
        <v>207</v>
      </c>
      <c r="B24" s="4" t="n">
        <f aca="false">SUM(B14:B23)</f>
        <v>29</v>
      </c>
      <c r="C24" s="4" t="n">
        <f aca="false">SUM(C14:C23)</f>
        <v>0</v>
      </c>
      <c r="D24" s="4" t="n">
        <f aca="false">SUM(D14:D23)</f>
        <v>6</v>
      </c>
      <c r="E24" s="4" t="n">
        <f aca="false">SUM(E14:E23)</f>
        <v>2</v>
      </c>
      <c r="F24" s="4" t="n">
        <f aca="false">SUM(F14:F23)</f>
        <v>6</v>
      </c>
      <c r="G24" s="4" t="n">
        <f aca="false">SUM(G14:G23)</f>
        <v>5</v>
      </c>
      <c r="H24" s="4" t="n">
        <f aca="false">SUM(H14:H23)</f>
        <v>29</v>
      </c>
      <c r="I24" s="4" t="n">
        <f aca="false">SUM(I14:I23)</f>
        <v>0</v>
      </c>
      <c r="J24" s="4" t="n">
        <f aca="false">SUM(J14:J23)</f>
        <v>6</v>
      </c>
      <c r="K24" s="4" t="n">
        <f aca="false">SUM(K14:K23)</f>
        <v>2</v>
      </c>
      <c r="L24" s="4" t="n">
        <f aca="false">SUM(L14:L23)</f>
        <v>6</v>
      </c>
      <c r="M24" s="4" t="n">
        <f aca="false">SUM(M14:M23)</f>
        <v>5</v>
      </c>
      <c r="N24" s="4" t="n">
        <f aca="false">SUM(N14:N23)</f>
        <v>29</v>
      </c>
      <c r="O24" s="4" t="n">
        <f aca="false">SUM(O14:O23)</f>
        <v>0</v>
      </c>
      <c r="P24" s="4" t="n">
        <f aca="false">SUM(P14:P23)</f>
        <v>6</v>
      </c>
      <c r="Q24" s="4" t="n">
        <f aca="false">SUM(Q14:Q23)</f>
        <v>2</v>
      </c>
      <c r="R24" s="4" t="n">
        <f aca="false">SUM(R14:R23)</f>
        <v>6</v>
      </c>
      <c r="S24" s="4" t="n">
        <f aca="false">SUM(S14:S23)</f>
        <v>5</v>
      </c>
      <c r="T24" s="4" t="n">
        <f aca="false">SUM(T14:T23)</f>
        <v>29</v>
      </c>
      <c r="U24" s="4" t="n">
        <f aca="false">SUM(U14:U23)</f>
        <v>0</v>
      </c>
      <c r="V24" s="4" t="n">
        <f aca="false">SUM(V14:V23)</f>
        <v>6</v>
      </c>
      <c r="W24" s="4" t="n">
        <f aca="false">SUM(W14:W23)</f>
        <v>2</v>
      </c>
      <c r="X24" s="4" t="n">
        <f aca="false">SUM(X14:X23)</f>
        <v>6</v>
      </c>
      <c r="Y24" s="4" t="n">
        <f aca="false">SUM(Y14:Y23)</f>
        <v>5</v>
      </c>
      <c r="Z24" s="4" t="n">
        <f aca="false">SUM(Z14:Z23)</f>
        <v>192</v>
      </c>
    </row>
  </sheetData>
  <conditionalFormatting sqref="B6:Y8">
    <cfRule type="colorScale" priority="2">
      <colorScale>
        <cfvo type="num" val="0"/>
        <cfvo type="max" val="0"/>
        <color rgb="FFFFFFFF"/>
        <color rgb="FF5B9BD5"/>
      </colorScale>
    </cfRule>
  </conditionalFormatting>
  <conditionalFormatting sqref="B14:Y23">
    <cfRule type="colorScale" priority="3">
      <colorScale>
        <cfvo type="num" val="0"/>
        <cfvo type="max" val="0"/>
        <color rgb="FFFFFFFF"/>
        <color rgb="FF5B9BD5"/>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3" min="3" style="0" width="16"/>
    <col collapsed="false" customWidth="true" hidden="false" outlineLevel="0" max="4" min="4" style="0" width="70"/>
  </cols>
  <sheetData>
    <row r="1" customFormat="false" ht="19.7" hidden="false" customHeight="false" outlineLevel="0" collapsed="false">
      <c r="A1" s="1" t="s">
        <v>209</v>
      </c>
    </row>
    <row r="3" customFormat="false" ht="15" hidden="false" customHeight="false" outlineLevel="0" collapsed="false">
      <c r="A3" s="6" t="s">
        <v>210</v>
      </c>
      <c r="B3" s="7"/>
      <c r="C3" s="7"/>
      <c r="D3" s="7"/>
    </row>
    <row r="4" customFormat="false" ht="15" hidden="false" customHeight="false" outlineLevel="0" collapsed="false">
      <c r="A4" s="3" t="s">
        <v>211</v>
      </c>
      <c r="B4" s="3"/>
      <c r="C4" s="27" t="n">
        <f aca="true">TODAY()</f>
        <v>46310</v>
      </c>
      <c r="D4" s="28" t="s">
        <v>212</v>
      </c>
    </row>
    <row r="5" customFormat="false" ht="23.85" hidden="false" customHeight="false" outlineLevel="0" collapsed="false">
      <c r="A5" s="3" t="s">
        <v>213</v>
      </c>
      <c r="B5" s="3"/>
      <c r="C5" s="29" t="n">
        <v>6</v>
      </c>
      <c r="D5" s="28" t="s">
        <v>214</v>
      </c>
    </row>
    <row r="6" customFormat="false" ht="15" hidden="false" customHeight="false" outlineLevel="0" collapsed="false">
      <c r="A6" s="3" t="s">
        <v>215</v>
      </c>
      <c r="B6" s="3"/>
      <c r="C6" s="29" t="n">
        <v>30</v>
      </c>
      <c r="D6" s="28" t="s">
        <v>216</v>
      </c>
    </row>
    <row r="7" customFormat="false" ht="23.85" hidden="false" customHeight="false" outlineLevel="0" collapsed="false">
      <c r="A7" s="3" t="s">
        <v>217</v>
      </c>
      <c r="B7" s="3"/>
      <c r="C7" s="29" t="n">
        <v>15</v>
      </c>
      <c r="D7" s="28" t="s">
        <v>218</v>
      </c>
    </row>
    <row r="8" customFormat="false" ht="23.85" hidden="false" customHeight="false" outlineLevel="0" collapsed="false">
      <c r="A8" s="3" t="s">
        <v>219</v>
      </c>
      <c r="B8" s="3"/>
      <c r="C8" s="29" t="n">
        <v>4</v>
      </c>
      <c r="D8" s="28" t="s">
        <v>220</v>
      </c>
    </row>
    <row r="10" customFormat="false" ht="15" hidden="false" customHeight="false" outlineLevel="0" collapsed="false">
      <c r="A10" s="6" t="s">
        <v>221</v>
      </c>
      <c r="B10" s="7"/>
      <c r="C10" s="7"/>
      <c r="D10" s="7"/>
    </row>
    <row r="11" customFormat="false" ht="30" hidden="false" customHeight="true" outlineLevel="0" collapsed="false">
      <c r="A11" s="30" t="n">
        <v>1</v>
      </c>
      <c r="B11" s="13" t="s">
        <v>222</v>
      </c>
      <c r="C11" s="13"/>
      <c r="D11" s="13"/>
    </row>
    <row r="12" customFormat="false" ht="30" hidden="false" customHeight="true" outlineLevel="0" collapsed="false">
      <c r="A12" s="30" t="n">
        <v>2</v>
      </c>
      <c r="B12" s="13" t="s">
        <v>223</v>
      </c>
      <c r="C12" s="13"/>
      <c r="D12" s="13"/>
    </row>
    <row r="13" customFormat="false" ht="45" hidden="false" customHeight="true" outlineLevel="0" collapsed="false">
      <c r="A13" s="30" t="n">
        <v>3</v>
      </c>
      <c r="B13" s="13" t="s">
        <v>224</v>
      </c>
      <c r="C13" s="13"/>
      <c r="D13" s="13"/>
    </row>
    <row r="14" customFormat="false" ht="60" hidden="false" customHeight="true" outlineLevel="0" collapsed="false">
      <c r="A14" s="30" t="n">
        <v>4</v>
      </c>
      <c r="B14" s="13" t="s">
        <v>225</v>
      </c>
      <c r="C14" s="13"/>
      <c r="D14" s="13"/>
    </row>
    <row r="15" customFormat="false" ht="30" hidden="false" customHeight="true" outlineLevel="0" collapsed="false">
      <c r="A15" s="30" t="n">
        <v>5</v>
      </c>
      <c r="B15" s="13" t="s">
        <v>226</v>
      </c>
      <c r="C15" s="13"/>
      <c r="D15" s="13"/>
    </row>
    <row r="16" customFormat="false" ht="45" hidden="false" customHeight="true" outlineLevel="0" collapsed="false">
      <c r="A16" s="30" t="n">
        <v>6</v>
      </c>
      <c r="B16" s="13" t="s">
        <v>227</v>
      </c>
      <c r="C16" s="13"/>
      <c r="D16" s="13"/>
    </row>
    <row r="17" customFormat="false" ht="45" hidden="false" customHeight="true" outlineLevel="0" collapsed="false">
      <c r="A17" s="30" t="n">
        <v>7</v>
      </c>
      <c r="B17" s="13" t="s">
        <v>228</v>
      </c>
      <c r="C17" s="13"/>
      <c r="D17" s="13"/>
    </row>
    <row r="18" customFormat="false" ht="30" hidden="false" customHeight="true" outlineLevel="0" collapsed="false">
      <c r="A18" s="30" t="n">
        <v>8</v>
      </c>
      <c r="B18" s="13" t="s">
        <v>229</v>
      </c>
      <c r="C18" s="13"/>
      <c r="D18" s="13"/>
    </row>
    <row r="19" customFormat="false" ht="30" hidden="false" customHeight="true" outlineLevel="0" collapsed="false">
      <c r="A19" s="30" t="n">
        <v>9</v>
      </c>
      <c r="B19" s="13" t="s">
        <v>230</v>
      </c>
      <c r="C19" s="13"/>
      <c r="D19" s="13"/>
    </row>
    <row r="21" customFormat="false" ht="15" hidden="false" customHeight="false" outlineLevel="0" collapsed="false">
      <c r="A21" s="6" t="s">
        <v>231</v>
      </c>
      <c r="B21" s="7"/>
      <c r="C21" s="7"/>
      <c r="D21" s="7"/>
    </row>
    <row r="22" customFormat="false" ht="15" hidden="false" customHeight="true" outlineLevel="0" collapsed="false">
      <c r="A22" s="30" t="n">
        <v>1</v>
      </c>
      <c r="B22" s="13" t="s">
        <v>232</v>
      </c>
      <c r="C22" s="13"/>
      <c r="D22" s="13"/>
    </row>
    <row r="23" customFormat="false" ht="30" hidden="false" customHeight="true" outlineLevel="0" collapsed="false">
      <c r="A23" s="30" t="n">
        <v>2</v>
      </c>
      <c r="B23" s="13" t="s">
        <v>233</v>
      </c>
      <c r="C23" s="13"/>
      <c r="D23" s="13"/>
    </row>
    <row r="24" customFormat="false" ht="15" hidden="false" customHeight="true" outlineLevel="0" collapsed="false">
      <c r="A24" s="30" t="n">
        <v>3</v>
      </c>
      <c r="B24" s="13" t="s">
        <v>234</v>
      </c>
      <c r="C24" s="13"/>
      <c r="D24" s="13"/>
    </row>
    <row r="25" customFormat="false" ht="30" hidden="false" customHeight="true" outlineLevel="0" collapsed="false">
      <c r="A25" s="30" t="n">
        <v>4</v>
      </c>
      <c r="B25" s="13" t="s">
        <v>235</v>
      </c>
      <c r="C25" s="13"/>
      <c r="D25" s="13"/>
    </row>
    <row r="26" customFormat="false" ht="30" hidden="false" customHeight="true" outlineLevel="0" collapsed="false">
      <c r="A26" s="30" t="n">
        <v>5</v>
      </c>
      <c r="B26" s="13" t="s">
        <v>236</v>
      </c>
      <c r="C26" s="13"/>
      <c r="D26" s="13"/>
    </row>
  </sheetData>
  <mergeCells count="19">
    <mergeCell ref="A4:B4"/>
    <mergeCell ref="A5:B5"/>
    <mergeCell ref="A6:B6"/>
    <mergeCell ref="A7:B7"/>
    <mergeCell ref="A8:B8"/>
    <mergeCell ref="B11:D11"/>
    <mergeCell ref="B12:D12"/>
    <mergeCell ref="B13:D13"/>
    <mergeCell ref="B14:D14"/>
    <mergeCell ref="B15:D15"/>
    <mergeCell ref="B16:D16"/>
    <mergeCell ref="B17:D17"/>
    <mergeCell ref="B18:D18"/>
    <mergeCell ref="B19:D19"/>
    <mergeCell ref="B22:D22"/>
    <mergeCell ref="B23:D23"/>
    <mergeCell ref="B24:D24"/>
    <mergeCell ref="B25:D25"/>
    <mergeCell ref="B26:D2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0"/>
  </cols>
  <sheetData>
    <row r="1" customFormat="false" ht="15" hidden="false" customHeight="false" outlineLevel="0" collapsed="false">
      <c r="A1" s="26" t="s">
        <v>237</v>
      </c>
    </row>
    <row r="2" customFormat="false" ht="15" hidden="false" customHeight="false" outlineLevel="0" collapsed="false">
      <c r="A2" s="21" t="s">
        <v>182</v>
      </c>
      <c r="B2" s="21" t="s">
        <v>238</v>
      </c>
    </row>
    <row r="3" customFormat="false" ht="15" hidden="false" customHeight="false" outlineLevel="0" collapsed="false">
      <c r="A3" s="31" t="n">
        <v>46023</v>
      </c>
      <c r="B3" s="24" t="s">
        <v>239</v>
      </c>
    </row>
    <row r="4" customFormat="false" ht="15" hidden="false" customHeight="false" outlineLevel="0" collapsed="false">
      <c r="A4" s="31" t="n">
        <v>46034</v>
      </c>
      <c r="B4" s="24" t="s">
        <v>240</v>
      </c>
    </row>
    <row r="5" customFormat="false" ht="15" hidden="false" customHeight="false" outlineLevel="0" collapsed="false">
      <c r="A5" s="31" t="n">
        <v>46104</v>
      </c>
      <c r="B5" s="24" t="s">
        <v>241</v>
      </c>
    </row>
    <row r="6" customFormat="false" ht="15" hidden="false" customHeight="false" outlineLevel="0" collapsed="false">
      <c r="A6" s="31" t="n">
        <v>46114</v>
      </c>
      <c r="B6" s="24" t="s">
        <v>242</v>
      </c>
    </row>
    <row r="7" customFormat="false" ht="15" hidden="false" customHeight="false" outlineLevel="0" collapsed="false">
      <c r="A7" s="31" t="n">
        <v>46115</v>
      </c>
      <c r="B7" s="24" t="s">
        <v>243</v>
      </c>
    </row>
    <row r="8" customFormat="false" ht="15" hidden="false" customHeight="false" outlineLevel="0" collapsed="false">
      <c r="A8" s="31" t="n">
        <v>46143</v>
      </c>
      <c r="B8" s="24" t="s">
        <v>244</v>
      </c>
    </row>
    <row r="9" customFormat="false" ht="15" hidden="false" customHeight="false" outlineLevel="0" collapsed="false">
      <c r="A9" s="31" t="n">
        <v>46160</v>
      </c>
      <c r="B9" s="24" t="s">
        <v>245</v>
      </c>
    </row>
    <row r="10" customFormat="false" ht="15" hidden="false" customHeight="false" outlineLevel="0" collapsed="false">
      <c r="A10" s="31" t="n">
        <v>46181</v>
      </c>
      <c r="B10" s="24" t="s">
        <v>246</v>
      </c>
    </row>
    <row r="11" customFormat="false" ht="15" hidden="false" customHeight="false" outlineLevel="0" collapsed="false">
      <c r="A11" s="31" t="n">
        <v>46188</v>
      </c>
      <c r="B11" s="24" t="s">
        <v>247</v>
      </c>
    </row>
    <row r="12" customFormat="false" ht="15" hidden="false" customHeight="false" outlineLevel="0" collapsed="false">
      <c r="A12" s="31" t="n">
        <v>46202</v>
      </c>
      <c r="B12" s="24" t="s">
        <v>248</v>
      </c>
    </row>
    <row r="13" customFormat="false" ht="15" hidden="false" customHeight="false" outlineLevel="0" collapsed="false">
      <c r="A13" s="31" t="n">
        <v>46216</v>
      </c>
      <c r="B13" s="24" t="s">
        <v>249</v>
      </c>
    </row>
    <row r="14" customFormat="false" ht="15" hidden="false" customHeight="false" outlineLevel="0" collapsed="false">
      <c r="A14" s="31" t="n">
        <v>46223</v>
      </c>
      <c r="B14" s="24" t="s">
        <v>250</v>
      </c>
    </row>
    <row r="15" customFormat="false" ht="15" hidden="false" customHeight="false" outlineLevel="0" collapsed="false">
      <c r="A15" s="31" t="n">
        <v>46241</v>
      </c>
      <c r="B15" s="24" t="s">
        <v>251</v>
      </c>
    </row>
    <row r="16" customFormat="false" ht="15" hidden="false" customHeight="false" outlineLevel="0" collapsed="false">
      <c r="A16" s="31" t="n">
        <v>46251</v>
      </c>
      <c r="B16" s="24" t="s">
        <v>252</v>
      </c>
    </row>
    <row r="17" customFormat="false" ht="15" hidden="false" customHeight="false" outlineLevel="0" collapsed="false">
      <c r="A17" s="31" t="n">
        <v>46307</v>
      </c>
      <c r="B17" s="24" t="s">
        <v>253</v>
      </c>
    </row>
    <row r="18" customFormat="false" ht="15" hidden="false" customHeight="false" outlineLevel="0" collapsed="false">
      <c r="A18" s="31" t="n">
        <v>46328</v>
      </c>
      <c r="B18" s="24" t="s">
        <v>254</v>
      </c>
    </row>
    <row r="19" customFormat="false" ht="15" hidden="false" customHeight="false" outlineLevel="0" collapsed="false">
      <c r="A19" s="31" t="n">
        <v>46342</v>
      </c>
      <c r="B19" s="24" t="s">
        <v>255</v>
      </c>
    </row>
    <row r="20" customFormat="false" ht="15" hidden="false" customHeight="false" outlineLevel="0" collapsed="false">
      <c r="A20" s="31" t="n">
        <v>46364</v>
      </c>
      <c r="B20" s="24" t="s">
        <v>256</v>
      </c>
    </row>
    <row r="21" customFormat="false" ht="15" hidden="false" customHeight="false" outlineLevel="0" collapsed="false">
      <c r="A21" s="31" t="n">
        <v>46381</v>
      </c>
      <c r="B21" s="24" t="s">
        <v>257</v>
      </c>
    </row>
    <row r="22" customFormat="false" ht="15" hidden="false" customHeight="false" outlineLevel="0" collapsed="false">
      <c r="A22" s="31" t="n">
        <v>46388</v>
      </c>
      <c r="B22" s="24" t="s">
        <v>239</v>
      </c>
    </row>
    <row r="23" customFormat="false" ht="15" hidden="false" customHeight="false" outlineLevel="0" collapsed="false">
      <c r="A23" s="31" t="n">
        <v>46398</v>
      </c>
      <c r="B23" s="24" t="s">
        <v>240</v>
      </c>
    </row>
    <row r="24" customFormat="false" ht="15" hidden="false" customHeight="false" outlineLevel="0" collapsed="false">
      <c r="A24" s="31" t="n">
        <v>46468</v>
      </c>
      <c r="B24" s="24" t="s">
        <v>241</v>
      </c>
    </row>
    <row r="25" customFormat="false" ht="15" hidden="false" customHeight="false" outlineLevel="0" collapsed="false">
      <c r="A25" s="31" t="n">
        <v>46471</v>
      </c>
      <c r="B25" s="24" t="s">
        <v>242</v>
      </c>
    </row>
    <row r="26" customFormat="false" ht="15" hidden="false" customHeight="false" outlineLevel="0" collapsed="false">
      <c r="A26" s="31" t="n">
        <v>46472</v>
      </c>
      <c r="B26" s="24" t="s">
        <v>243</v>
      </c>
    </row>
    <row r="27" customFormat="false" ht="15" hidden="false" customHeight="false" outlineLevel="0" collapsed="false">
      <c r="A27" s="31" t="n">
        <v>46508</v>
      </c>
      <c r="B27" s="24" t="s">
        <v>244</v>
      </c>
    </row>
    <row r="28" customFormat="false" ht="15" hidden="false" customHeight="false" outlineLevel="0" collapsed="false">
      <c r="A28" s="31" t="n">
        <v>46517</v>
      </c>
      <c r="B28" s="24" t="s">
        <v>245</v>
      </c>
    </row>
    <row r="29" customFormat="false" ht="15" hidden="false" customHeight="false" outlineLevel="0" collapsed="false">
      <c r="A29" s="31" t="n">
        <v>46538</v>
      </c>
      <c r="B29" s="24" t="s">
        <v>246</v>
      </c>
    </row>
    <row r="30" customFormat="false" ht="15" hidden="false" customHeight="false" outlineLevel="0" collapsed="false">
      <c r="A30" s="31" t="n">
        <v>46545</v>
      </c>
      <c r="B30" s="24" t="s">
        <v>247</v>
      </c>
    </row>
    <row r="31" customFormat="false" ht="15" hidden="false" customHeight="false" outlineLevel="0" collapsed="false">
      <c r="A31" s="31" t="n">
        <v>46573</v>
      </c>
      <c r="B31" s="24" t="s">
        <v>258</v>
      </c>
    </row>
    <row r="32" customFormat="false" ht="15" hidden="false" customHeight="false" outlineLevel="0" collapsed="false">
      <c r="A32" s="31" t="n">
        <v>46580</v>
      </c>
      <c r="B32" s="24" t="s">
        <v>249</v>
      </c>
    </row>
    <row r="33" customFormat="false" ht="15" hidden="false" customHeight="false" outlineLevel="0" collapsed="false">
      <c r="A33" s="31" t="n">
        <v>46588</v>
      </c>
      <c r="B33" s="24" t="s">
        <v>250</v>
      </c>
    </row>
    <row r="34" customFormat="false" ht="15" hidden="false" customHeight="false" outlineLevel="0" collapsed="false">
      <c r="A34" s="31" t="n">
        <v>46606</v>
      </c>
      <c r="B34" s="24" t="s">
        <v>251</v>
      </c>
    </row>
    <row r="35" customFormat="false" ht="15" hidden="false" customHeight="false" outlineLevel="0" collapsed="false">
      <c r="A35" s="31" t="n">
        <v>46615</v>
      </c>
      <c r="B35" s="24" t="s">
        <v>252</v>
      </c>
    </row>
    <row r="36" customFormat="false" ht="15" hidden="false" customHeight="false" outlineLevel="0" collapsed="false">
      <c r="A36" s="31" t="n">
        <v>46678</v>
      </c>
      <c r="B36" s="24" t="s">
        <v>259</v>
      </c>
    </row>
    <row r="37" customFormat="false" ht="15" hidden="false" customHeight="false" outlineLevel="0" collapsed="false">
      <c r="A37" s="31" t="n">
        <v>46692</v>
      </c>
      <c r="B37" s="24" t="s">
        <v>260</v>
      </c>
    </row>
    <row r="38" customFormat="false" ht="15" hidden="false" customHeight="false" outlineLevel="0" collapsed="false">
      <c r="A38" s="31" t="n">
        <v>46706</v>
      </c>
      <c r="B38" s="24" t="s">
        <v>255</v>
      </c>
    </row>
    <row r="39" customFormat="false" ht="15" hidden="false" customHeight="false" outlineLevel="0" collapsed="false">
      <c r="A39" s="31" t="n">
        <v>46729</v>
      </c>
      <c r="B39" s="24" t="s">
        <v>256</v>
      </c>
    </row>
    <row r="40" customFormat="false" ht="15" hidden="false" customHeight="false" outlineLevel="0" collapsed="false">
      <c r="A40" s="31" t="n">
        <v>46746</v>
      </c>
      <c r="B40" s="24" t="s">
        <v>257</v>
      </c>
    </row>
    <row r="41" customFormat="false" ht="15" hidden="false" customHeight="false" outlineLevel="0" collapsed="false">
      <c r="A41" s="31" t="n">
        <v>46753</v>
      </c>
      <c r="B41" s="24" t="s">
        <v>239</v>
      </c>
    </row>
    <row r="42" customFormat="false" ht="15" hidden="false" customHeight="false" outlineLevel="0" collapsed="false">
      <c r="A42" s="31" t="n">
        <v>46762</v>
      </c>
      <c r="B42" s="24" t="s">
        <v>240</v>
      </c>
    </row>
    <row r="43" customFormat="false" ht="15" hidden="false" customHeight="false" outlineLevel="0" collapsed="false">
      <c r="A43" s="31" t="n">
        <v>46832</v>
      </c>
      <c r="B43" s="24" t="s">
        <v>241</v>
      </c>
    </row>
    <row r="44" customFormat="false" ht="15" hidden="false" customHeight="false" outlineLevel="0" collapsed="false">
      <c r="A44" s="31" t="n">
        <v>46856</v>
      </c>
      <c r="B44" s="24" t="s">
        <v>242</v>
      </c>
    </row>
    <row r="45" customFormat="false" ht="15" hidden="false" customHeight="false" outlineLevel="0" collapsed="false">
      <c r="A45" s="31" t="n">
        <v>46857</v>
      </c>
      <c r="B45" s="24" t="s">
        <v>243</v>
      </c>
    </row>
    <row r="46" customFormat="false" ht="15" hidden="false" customHeight="false" outlineLevel="0" collapsed="false">
      <c r="A46" s="31" t="n">
        <v>46874</v>
      </c>
      <c r="B46" s="24" t="s">
        <v>244</v>
      </c>
    </row>
    <row r="47" customFormat="false" ht="15" hidden="false" customHeight="false" outlineLevel="0" collapsed="false">
      <c r="A47" s="31" t="n">
        <v>46902</v>
      </c>
      <c r="B47" s="24" t="s">
        <v>245</v>
      </c>
    </row>
    <row r="48" customFormat="false" ht="15" hidden="false" customHeight="false" outlineLevel="0" collapsed="false">
      <c r="A48" s="31" t="n">
        <v>46923</v>
      </c>
      <c r="B48" s="24" t="s">
        <v>246</v>
      </c>
    </row>
    <row r="49" customFormat="false" ht="15" hidden="false" customHeight="false" outlineLevel="0" collapsed="false">
      <c r="A49" s="31" t="n">
        <v>46930</v>
      </c>
      <c r="B49" s="24" t="s">
        <v>247</v>
      </c>
    </row>
    <row r="50" customFormat="false" ht="15" hidden="false" customHeight="false" outlineLevel="0" collapsed="false">
      <c r="A50" s="31" t="n">
        <v>46937</v>
      </c>
      <c r="B50" s="24" t="s">
        <v>258</v>
      </c>
    </row>
    <row r="51" customFormat="false" ht="15" hidden="false" customHeight="false" outlineLevel="0" collapsed="false">
      <c r="A51" s="31" t="n">
        <v>46944</v>
      </c>
      <c r="B51" s="24" t="s">
        <v>249</v>
      </c>
    </row>
    <row r="52" customFormat="false" ht="15" hidden="false" customHeight="false" outlineLevel="0" collapsed="false">
      <c r="A52" s="31" t="n">
        <v>46954</v>
      </c>
      <c r="B52" s="24" t="s">
        <v>250</v>
      </c>
    </row>
    <row r="53" customFormat="false" ht="15" hidden="false" customHeight="false" outlineLevel="0" collapsed="false">
      <c r="A53" s="31" t="n">
        <v>46972</v>
      </c>
      <c r="B53" s="24" t="s">
        <v>251</v>
      </c>
    </row>
    <row r="54" customFormat="false" ht="15" hidden="false" customHeight="false" outlineLevel="0" collapsed="false">
      <c r="A54" s="31" t="n">
        <v>46986</v>
      </c>
      <c r="B54" s="24" t="s">
        <v>252</v>
      </c>
    </row>
    <row r="55" customFormat="false" ht="15" hidden="false" customHeight="false" outlineLevel="0" collapsed="false">
      <c r="A55" s="31" t="n">
        <v>47042</v>
      </c>
      <c r="B55" s="24" t="s">
        <v>259</v>
      </c>
    </row>
    <row r="56" customFormat="false" ht="15" hidden="false" customHeight="false" outlineLevel="0" collapsed="false">
      <c r="A56" s="31" t="n">
        <v>47063</v>
      </c>
      <c r="B56" s="24" t="s">
        <v>254</v>
      </c>
    </row>
    <row r="57" customFormat="false" ht="15" hidden="false" customHeight="false" outlineLevel="0" collapsed="false">
      <c r="A57" s="31" t="n">
        <v>47070</v>
      </c>
      <c r="B57" s="24" t="s">
        <v>255</v>
      </c>
    </row>
    <row r="58" customFormat="false" ht="15" hidden="false" customHeight="false" outlineLevel="0" collapsed="false">
      <c r="A58" s="31" t="n">
        <v>47095</v>
      </c>
      <c r="B58" s="24" t="s">
        <v>256</v>
      </c>
    </row>
    <row r="59" customFormat="false" ht="15" hidden="false" customHeight="false" outlineLevel="0" collapsed="false">
      <c r="A59" s="31" t="n">
        <v>47112</v>
      </c>
      <c r="B59" s="24" t="s">
        <v>257</v>
      </c>
    </row>
    <row r="60" customFormat="false" ht="15" hidden="false" customHeight="false" outlineLevel="0" collapsed="false">
      <c r="A60" s="31" t="n">
        <v>47119</v>
      </c>
      <c r="B60" s="24" t="s">
        <v>239</v>
      </c>
    </row>
    <row r="61" customFormat="false" ht="15" hidden="false" customHeight="false" outlineLevel="0" collapsed="false">
      <c r="A61" s="31" t="n">
        <v>47126</v>
      </c>
      <c r="B61" s="24" t="s">
        <v>240</v>
      </c>
    </row>
    <row r="62" customFormat="false" ht="15" hidden="false" customHeight="false" outlineLevel="0" collapsed="false">
      <c r="A62" s="31" t="n">
        <v>47196</v>
      </c>
      <c r="B62" s="24" t="s">
        <v>261</v>
      </c>
    </row>
    <row r="63" customFormat="false" ht="15" hidden="false" customHeight="false" outlineLevel="0" collapsed="false">
      <c r="A63" s="31" t="n">
        <v>47206</v>
      </c>
      <c r="B63" s="24" t="s">
        <v>242</v>
      </c>
    </row>
    <row r="64" customFormat="false" ht="15" hidden="false" customHeight="false" outlineLevel="0" collapsed="false">
      <c r="A64" s="31" t="n">
        <v>47207</v>
      </c>
      <c r="B64" s="24" t="s">
        <v>243</v>
      </c>
    </row>
    <row r="65" customFormat="false" ht="15" hidden="false" customHeight="false" outlineLevel="0" collapsed="false">
      <c r="A65" s="31" t="n">
        <v>47239</v>
      </c>
      <c r="B65" s="24" t="s">
        <v>244</v>
      </c>
    </row>
    <row r="66" customFormat="false" ht="15" hidden="false" customHeight="false" outlineLevel="0" collapsed="false">
      <c r="A66" s="31" t="n">
        <v>47252</v>
      </c>
      <c r="B66" s="24" t="s">
        <v>245</v>
      </c>
    </row>
    <row r="67" customFormat="false" ht="15" hidden="false" customHeight="false" outlineLevel="0" collapsed="false">
      <c r="A67" s="31" t="n">
        <v>47273</v>
      </c>
      <c r="B67" s="24" t="s">
        <v>246</v>
      </c>
    </row>
    <row r="68" customFormat="false" ht="15" hidden="false" customHeight="false" outlineLevel="0" collapsed="false">
      <c r="A68" s="31" t="n">
        <v>47280</v>
      </c>
      <c r="B68" s="24" t="s">
        <v>247</v>
      </c>
    </row>
    <row r="69" customFormat="false" ht="15" hidden="false" customHeight="false" outlineLevel="0" collapsed="false">
      <c r="A69" s="31" t="n">
        <v>47301</v>
      </c>
      <c r="B69" s="24" t="s">
        <v>258</v>
      </c>
    </row>
    <row r="70" customFormat="false" ht="15" hidden="false" customHeight="false" outlineLevel="0" collapsed="false">
      <c r="A70" s="31" t="n">
        <v>47308</v>
      </c>
      <c r="B70" s="24" t="s">
        <v>262</v>
      </c>
    </row>
    <row r="71" customFormat="false" ht="15" hidden="false" customHeight="false" outlineLevel="0" collapsed="false">
      <c r="A71" s="31" t="n">
        <v>47319</v>
      </c>
      <c r="B71" s="24" t="s">
        <v>250</v>
      </c>
    </row>
    <row r="72" customFormat="false" ht="15" hidden="false" customHeight="false" outlineLevel="0" collapsed="false">
      <c r="A72" s="31" t="n">
        <v>47337</v>
      </c>
      <c r="B72" s="24" t="s">
        <v>251</v>
      </c>
    </row>
    <row r="73" customFormat="false" ht="15" hidden="false" customHeight="false" outlineLevel="0" collapsed="false">
      <c r="A73" s="31" t="n">
        <v>47350</v>
      </c>
      <c r="B73" s="24" t="s">
        <v>252</v>
      </c>
    </row>
    <row r="74" customFormat="false" ht="15" hidden="false" customHeight="false" outlineLevel="0" collapsed="false">
      <c r="A74" s="31" t="n">
        <v>47406</v>
      </c>
      <c r="B74" s="24" t="s">
        <v>259</v>
      </c>
    </row>
    <row r="75" customFormat="false" ht="15" hidden="false" customHeight="false" outlineLevel="0" collapsed="false">
      <c r="A75" s="31" t="n">
        <v>47427</v>
      </c>
      <c r="B75" s="24" t="s">
        <v>254</v>
      </c>
    </row>
    <row r="76" customFormat="false" ht="15" hidden="false" customHeight="false" outlineLevel="0" collapsed="false">
      <c r="A76" s="31" t="n">
        <v>47434</v>
      </c>
      <c r="B76" s="24" t="s">
        <v>255</v>
      </c>
    </row>
    <row r="77" customFormat="false" ht="15" hidden="false" customHeight="false" outlineLevel="0" collapsed="false">
      <c r="A77" s="31" t="n">
        <v>47460</v>
      </c>
      <c r="B77" s="24" t="s">
        <v>256</v>
      </c>
    </row>
    <row r="78" customFormat="false" ht="15" hidden="false" customHeight="false" outlineLevel="0" collapsed="false">
      <c r="A78" s="31" t="n">
        <v>47477</v>
      </c>
      <c r="B78" s="24" t="s">
        <v>257</v>
      </c>
    </row>
    <row r="79" customFormat="false" ht="15" hidden="false" customHeight="false" outlineLevel="0" collapsed="false">
      <c r="A79" s="31" t="n">
        <v>47484</v>
      </c>
      <c r="B79" s="24" t="s">
        <v>239</v>
      </c>
    </row>
    <row r="80" customFormat="false" ht="15" hidden="false" customHeight="false" outlineLevel="0" collapsed="false">
      <c r="A80" s="31" t="n">
        <v>47490</v>
      </c>
      <c r="B80" s="24" t="s">
        <v>240</v>
      </c>
    </row>
    <row r="81" customFormat="false" ht="15" hidden="false" customHeight="false" outlineLevel="0" collapsed="false">
      <c r="A81" s="31" t="n">
        <v>47567</v>
      </c>
      <c r="B81" s="24" t="s">
        <v>241</v>
      </c>
    </row>
    <row r="82" customFormat="false" ht="15" hidden="false" customHeight="false" outlineLevel="0" collapsed="false">
      <c r="A82" s="31" t="n">
        <v>47591</v>
      </c>
      <c r="B82" s="24" t="s">
        <v>242</v>
      </c>
    </row>
    <row r="83" customFormat="false" ht="15" hidden="false" customHeight="false" outlineLevel="0" collapsed="false">
      <c r="A83" s="31" t="n">
        <v>47592</v>
      </c>
      <c r="B83" s="24" t="s">
        <v>243</v>
      </c>
    </row>
    <row r="84" customFormat="false" ht="15" hidden="false" customHeight="false" outlineLevel="0" collapsed="false">
      <c r="A84" s="31" t="n">
        <v>47604</v>
      </c>
      <c r="B84" s="24" t="s">
        <v>244</v>
      </c>
    </row>
    <row r="85" customFormat="false" ht="15" hidden="false" customHeight="false" outlineLevel="0" collapsed="false">
      <c r="A85" s="31" t="n">
        <v>47637</v>
      </c>
      <c r="B85" s="24" t="s">
        <v>245</v>
      </c>
    </row>
    <row r="86" customFormat="false" ht="15" hidden="false" customHeight="false" outlineLevel="0" collapsed="false">
      <c r="A86" s="31" t="n">
        <v>47658</v>
      </c>
      <c r="B86" s="24" t="s">
        <v>246</v>
      </c>
    </row>
    <row r="87" customFormat="false" ht="15" hidden="false" customHeight="false" outlineLevel="0" collapsed="false">
      <c r="A87" s="31" t="n">
        <v>47665</v>
      </c>
      <c r="B87" s="24" t="s">
        <v>263</v>
      </c>
    </row>
    <row r="88" customFormat="false" ht="15" hidden="false" customHeight="false" outlineLevel="0" collapsed="false">
      <c r="A88" s="31" t="n">
        <v>47679</v>
      </c>
      <c r="B88" s="24" t="s">
        <v>249</v>
      </c>
    </row>
    <row r="89" customFormat="false" ht="15" hidden="false" customHeight="false" outlineLevel="0" collapsed="false">
      <c r="A89" s="31" t="n">
        <v>47684</v>
      </c>
      <c r="B89" s="24" t="s">
        <v>250</v>
      </c>
    </row>
    <row r="90" customFormat="false" ht="15" hidden="false" customHeight="false" outlineLevel="0" collapsed="false">
      <c r="A90" s="31" t="n">
        <v>47702</v>
      </c>
      <c r="B90" s="24" t="s">
        <v>251</v>
      </c>
    </row>
    <row r="91" customFormat="false" ht="15" hidden="false" customHeight="false" outlineLevel="0" collapsed="false">
      <c r="A91" s="31" t="n">
        <v>47714</v>
      </c>
      <c r="B91" s="24" t="s">
        <v>252</v>
      </c>
    </row>
    <row r="92" customFormat="false" ht="15" hidden="false" customHeight="false" outlineLevel="0" collapsed="false">
      <c r="A92" s="31" t="n">
        <v>47770</v>
      </c>
      <c r="B92" s="24" t="s">
        <v>259</v>
      </c>
    </row>
    <row r="93" customFormat="false" ht="15" hidden="false" customHeight="false" outlineLevel="0" collapsed="false">
      <c r="A93" s="31" t="n">
        <v>47791</v>
      </c>
      <c r="B93" s="24" t="s">
        <v>254</v>
      </c>
    </row>
    <row r="94" customFormat="false" ht="15" hidden="false" customHeight="false" outlineLevel="0" collapsed="false">
      <c r="A94" s="31" t="n">
        <v>47798</v>
      </c>
      <c r="B94" s="24" t="s">
        <v>264</v>
      </c>
    </row>
    <row r="95" customFormat="false" ht="15" hidden="false" customHeight="false" outlineLevel="0" collapsed="false">
      <c r="A95" s="31" t="n">
        <v>47825</v>
      </c>
      <c r="B95" s="24" t="s">
        <v>256</v>
      </c>
    </row>
    <row r="96" customFormat="false" ht="15" hidden="false" customHeight="false" outlineLevel="0" collapsed="false">
      <c r="A96" s="31" t="n">
        <v>47842</v>
      </c>
      <c r="B96" s="24" t="s">
        <v>257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2026-10-15T19:09:42Z</dcterms:created>
  <dc:creator>openpyxl</dc:creator>
  <dc:description/>
  <dc:language>en-US</dc:language>
  <cp:lastModifiedBy/>
  <dcterms:modified xsi:type="dcterms:W3CDTF">2026-10-15T19:09:42Z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